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C\new\"/>
    </mc:Choice>
  </mc:AlternateContent>
  <xr:revisionPtr revIDLastSave="0" documentId="13_ncr:1_{22DEB3DC-2B4C-42BB-9844-5173D6344604}" xr6:coauthVersionLast="47" xr6:coauthVersionMax="47" xr10:uidLastSave="{00000000-0000-0000-0000-000000000000}"/>
  <bookViews>
    <workbookView xWindow="-108" yWindow="-108" windowWidth="23256" windowHeight="12456" firstSheet="1" activeTab="4" xr2:uid="{B5C47DC9-D703-4068-8558-4DE4DAE18A59}"/>
  </bookViews>
  <sheets>
    <sheet name="DAS PCIs (Use for Vlookup) " sheetId="1" r:id="rId1"/>
    <sheet name="Service Level" sheetId="2" r:id="rId2"/>
    <sheet name="Office Mezz" sheetId="4" r:id="rId3"/>
    <sheet name="Main Concourse" sheetId="5" r:id="rId4"/>
    <sheet name="Upper Concourse" sheetId="6" r:id="rId5"/>
  </sheets>
  <definedNames>
    <definedName name="_xlnm._FilterDatabase" localSheetId="0" hidden="1">'DAS PCIs (Use for Vlookup) '!$A$1:$D$1</definedName>
    <definedName name="_xlnm._FilterDatabase" localSheetId="3" hidden="1">'Main Concourse'!$A$1:$F$34</definedName>
    <definedName name="_xlnm._FilterDatabase" localSheetId="2" hidden="1">'Office Mezz'!$A$1:$F$34</definedName>
    <definedName name="_xlnm._FilterDatabase" localSheetId="1" hidden="1">'Service Level'!$A$1:$F$40</definedName>
    <definedName name="_xlnm._FilterDatabase" localSheetId="4" hidden="1">'Upper Concourse'!$A$1:$F$82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6" l="1"/>
  <c r="D60" i="6"/>
  <c r="D65" i="6"/>
  <c r="D70" i="6"/>
  <c r="D52" i="6"/>
  <c r="D66" i="6"/>
  <c r="D55" i="6"/>
  <c r="D73" i="6"/>
  <c r="D71" i="6"/>
  <c r="D75" i="6"/>
  <c r="D80" i="6"/>
  <c r="D61" i="6"/>
  <c r="D64" i="6"/>
  <c r="D63" i="6"/>
  <c r="D76" i="6"/>
  <c r="D57" i="6"/>
  <c r="D50" i="6"/>
  <c r="D81" i="6"/>
  <c r="D51" i="6"/>
  <c r="D49" i="6"/>
  <c r="D54" i="6"/>
  <c r="D77" i="6"/>
  <c r="D74" i="6"/>
  <c r="D72" i="6"/>
  <c r="D69" i="6"/>
  <c r="D78" i="6"/>
  <c r="D56" i="6"/>
  <c r="D53" i="6"/>
  <c r="D79" i="6"/>
  <c r="D82" i="6"/>
  <c r="D59" i="6"/>
  <c r="D62" i="6"/>
  <c r="D67" i="6"/>
  <c r="D6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2" i="6"/>
  <c r="D31" i="6"/>
  <c r="D30" i="6"/>
  <c r="D29" i="6"/>
  <c r="D28" i="6"/>
  <c r="D27" i="6"/>
  <c r="D26" i="6"/>
  <c r="D25" i="6"/>
  <c r="H24" i="6"/>
  <c r="D24" i="6"/>
  <c r="D23" i="6"/>
  <c r="D22" i="6"/>
  <c r="D21" i="6"/>
  <c r="D20" i="6"/>
  <c r="D19" i="6"/>
  <c r="D18" i="6"/>
  <c r="D17" i="6"/>
  <c r="D16" i="6"/>
  <c r="D15" i="6"/>
  <c r="D14" i="6"/>
  <c r="D13" i="6"/>
  <c r="D10" i="6"/>
  <c r="D4" i="6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H24" i="5"/>
  <c r="D24" i="5"/>
  <c r="D23" i="5"/>
  <c r="D22" i="5"/>
  <c r="D21" i="5"/>
  <c r="D20" i="5"/>
  <c r="D19" i="5"/>
  <c r="D18" i="5"/>
  <c r="D17" i="5"/>
  <c r="D16" i="5"/>
  <c r="D15" i="5"/>
  <c r="D14" i="5"/>
  <c r="D13" i="5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H24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5" i="4"/>
  <c r="D3" i="4"/>
  <c r="D17" i="2"/>
  <c r="D21" i="2"/>
  <c r="D29" i="2"/>
  <c r="D26" i="2"/>
  <c r="D27" i="2"/>
  <c r="D19" i="2"/>
  <c r="H24" i="2"/>
  <c r="D32" i="2"/>
  <c r="D28" i="2"/>
  <c r="D10" i="2"/>
  <c r="D12" i="2"/>
  <c r="D13" i="2"/>
  <c r="D16" i="2"/>
  <c r="D31" i="2"/>
  <c r="D30" i="2"/>
  <c r="D7" i="2"/>
  <c r="D9" i="2"/>
  <c r="D35" i="2"/>
  <c r="D36" i="2"/>
  <c r="D37" i="2"/>
  <c r="D38" i="2"/>
  <c r="D39" i="2"/>
  <c r="D40" i="2"/>
  <c r="E6" i="1" a="1"/>
  <c r="E6" i="1" s="1"/>
  <c r="E7" i="1" a="1"/>
  <c r="E7" i="1" s="1"/>
  <c r="D11" i="2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D15" i="2" s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 s="1"/>
  <c r="E28" i="1" a="1"/>
  <c r="E28" i="1" s="1"/>
  <c r="E29" i="1" a="1"/>
  <c r="E29" i="1" s="1"/>
  <c r="E30" i="1" a="1"/>
  <c r="E30" i="1" s="1"/>
  <c r="E31" i="1" a="1"/>
  <c r="E31" i="1" s="1"/>
  <c r="E32" i="1" a="1"/>
  <c r="E32" i="1" s="1"/>
  <c r="E33" i="1" a="1"/>
  <c r="E33" i="1" s="1"/>
  <c r="E34" i="1" a="1"/>
  <c r="E34" i="1" s="1"/>
  <c r="E35" i="1" a="1"/>
  <c r="E35" i="1" s="1"/>
  <c r="E36" i="1" a="1"/>
  <c r="E36" i="1" s="1"/>
  <c r="E37" i="1" a="1"/>
  <c r="E37" i="1" s="1"/>
  <c r="E38" i="1" a="1"/>
  <c r="E38" i="1" s="1"/>
  <c r="E39" i="1" a="1"/>
  <c r="E39" i="1" s="1"/>
  <c r="E40" i="1" a="1"/>
  <c r="E40" i="1"/>
  <c r="E41" i="1" a="1"/>
  <c r="E41" i="1" s="1"/>
  <c r="E42" i="1" a="1"/>
  <c r="E42" i="1" s="1"/>
  <c r="E43" i="1" a="1"/>
  <c r="E43" i="1" s="1"/>
  <c r="D22" i="2" s="1"/>
  <c r="E44" i="1" a="1"/>
  <c r="E44" i="1" s="1"/>
  <c r="E45" i="1" a="1"/>
  <c r="E45" i="1" s="1"/>
  <c r="E46" i="1" a="1"/>
  <c r="E46" i="1" s="1"/>
  <c r="E47" i="1" a="1"/>
  <c r="E47" i="1" s="1"/>
  <c r="D6" i="4" s="1"/>
  <c r="E48" i="1" a="1"/>
  <c r="E48" i="1" s="1"/>
  <c r="E49" i="1" a="1"/>
  <c r="E49" i="1" s="1"/>
  <c r="E50" i="1" a="1"/>
  <c r="E50" i="1" s="1"/>
  <c r="E51" i="1" a="1"/>
  <c r="E51" i="1" s="1"/>
  <c r="E52" i="1" a="1"/>
  <c r="E52" i="1" s="1"/>
  <c r="E53" i="1" a="1"/>
  <c r="E53" i="1" s="1"/>
  <c r="E54" i="1" a="1"/>
  <c r="E54" i="1"/>
  <c r="E55" i="1" a="1"/>
  <c r="E55" i="1" s="1"/>
  <c r="E56" i="1" a="1"/>
  <c r="E56" i="1" s="1"/>
  <c r="E57" i="1" a="1"/>
  <c r="E57" i="1" s="1"/>
  <c r="E58" i="1" a="1"/>
  <c r="E58" i="1" s="1"/>
  <c r="E59" i="1" a="1"/>
  <c r="E59" i="1" s="1"/>
  <c r="E60" i="1" a="1"/>
  <c r="E60" i="1" s="1"/>
  <c r="E61" i="1" a="1"/>
  <c r="E61" i="1" s="1"/>
  <c r="E62" i="1" a="1"/>
  <c r="E62" i="1" s="1"/>
  <c r="D4" i="4" s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 s="1"/>
  <c r="E69" i="1" a="1"/>
  <c r="E69" i="1" s="1"/>
  <c r="E70" i="1" a="1"/>
  <c r="E70" i="1" s="1"/>
  <c r="E71" i="1" a="1"/>
  <c r="E71" i="1" s="1"/>
  <c r="E72" i="1" a="1"/>
  <c r="E72" i="1" s="1"/>
  <c r="E73" i="1" a="1"/>
  <c r="E73" i="1" s="1"/>
  <c r="E74" i="1" a="1"/>
  <c r="E74" i="1"/>
  <c r="E75" i="1" a="1"/>
  <c r="E75" i="1" s="1"/>
  <c r="E76" i="1" a="1"/>
  <c r="E76" i="1" s="1"/>
  <c r="E77" i="1" a="1"/>
  <c r="E77" i="1" s="1"/>
  <c r="E78" i="1" a="1"/>
  <c r="E78" i="1" s="1"/>
  <c r="E79" i="1" a="1"/>
  <c r="E79" i="1" s="1"/>
  <c r="E80" i="1" a="1"/>
  <c r="E80" i="1"/>
  <c r="E81" i="1" a="1"/>
  <c r="E81" i="1"/>
  <c r="E82" i="1" a="1"/>
  <c r="E82" i="1" s="1"/>
  <c r="E83" i="1" a="1"/>
  <c r="E83" i="1" s="1"/>
  <c r="E84" i="1" a="1"/>
  <c r="E84" i="1" s="1"/>
  <c r="E85" i="1" a="1"/>
  <c r="E85" i="1" s="1"/>
  <c r="E86" i="1" a="1"/>
  <c r="E86" i="1" s="1"/>
  <c r="E87" i="1" a="1"/>
  <c r="E87" i="1" s="1"/>
  <c r="D33" i="2" s="1"/>
  <c r="E88" i="1" a="1"/>
  <c r="E88" i="1"/>
  <c r="D34" i="2" s="1"/>
  <c r="E4" i="1" a="1"/>
  <c r="E4" i="1" s="1"/>
  <c r="E5" i="1" a="1"/>
  <c r="E5" i="1" s="1"/>
  <c r="E3" i="1" a="1"/>
  <c r="E3" i="1" s="1"/>
  <c r="E2" i="1" a="1"/>
  <c r="E2" i="1" s="1"/>
  <c r="D14" i="2" l="1"/>
  <c r="D18" i="2"/>
  <c r="D6" i="2"/>
  <c r="D8" i="2"/>
  <c r="D23" i="2"/>
  <c r="D24" i="2"/>
  <c r="D25" i="2"/>
  <c r="D20" i="2"/>
  <c r="D12" i="6"/>
  <c r="D2" i="4"/>
  <c r="D7" i="4"/>
  <c r="D2" i="6"/>
  <c r="D3" i="6"/>
  <c r="D5" i="6"/>
  <c r="D6" i="6"/>
  <c r="D33" i="6"/>
  <c r="D7" i="6"/>
  <c r="D48" i="6"/>
  <c r="D8" i="6"/>
  <c r="D9" i="6"/>
  <c r="D11" i="6"/>
  <c r="D4" i="2"/>
  <c r="D5" i="2"/>
  <c r="D3" i="2"/>
  <c r="D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<sst xmlns="http://schemas.openxmlformats.org/spreadsheetml/2006/main" count="310" uniqueCount="20">
  <si>
    <t>PCI</t>
  </si>
  <si>
    <t>Zone</t>
  </si>
  <si>
    <t>NR</t>
  </si>
  <si>
    <t>5G Sector</t>
  </si>
  <si>
    <t>DU</t>
  </si>
  <si>
    <t>PCI Zones</t>
  </si>
  <si>
    <t>Zones</t>
  </si>
  <si>
    <t>Dominance</t>
  </si>
  <si>
    <t>TECH</t>
  </si>
  <si>
    <t>AWS-3</t>
  </si>
  <si>
    <t>Status</t>
  </si>
  <si>
    <t>Good</t>
  </si>
  <si>
    <t>Tilt</t>
  </si>
  <si>
    <t>Control</t>
  </si>
  <si>
    <t>Level</t>
  </si>
  <si>
    <t>Service Level</t>
  </si>
  <si>
    <t>Mezzoning</t>
  </si>
  <si>
    <t>Upper Concourse</t>
  </si>
  <si>
    <t>Downtilt Macro</t>
  </si>
  <si>
    <t>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</si>
</sst>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2" fillId="5" borderId="1" xfId="0" applyFont="1" applyFill="1" applyBorder="1"/>
    <xf numFmtId="0" fontId="3" fillId="6" borderId="1" xfId="0" applyFont="1" applyFill="1" applyBorder="1"/>
    <xf numFmtId="0" fontId="2" fillId="7" borderId="1" xfId="0" applyFont="1" applyFill="1" applyBorder="1"/>
    <xf numFmtId="0" fontId="1" fillId="8" borderId="0" xfId="0" applyFont="1" applyFill="1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10" borderId="1" xfId="0" applyFill="1" applyBorder="1"/>
    <xf numFmtId="164" fontId="0" fillId="10" borderId="1" xfId="0" applyNumberFormat="1" applyFill="1" applyBorder="1"/>
    <xf numFmtId="0" fontId="0" fillId="12" borderId="1" xfId="0" applyFill="1" applyBorder="1"/>
    <xf numFmtId="164" fontId="0" fillId="12" borderId="1" xfId="0" applyNumberFormat="1" applyFill="1" applyBorder="1"/>
    <xf numFmtId="0" fontId="0" fillId="11" borderId="1" xfId="0" applyFill="1" applyBorder="1"/>
    <xf numFmtId="164" fontId="0" fillId="11" borderId="1" xfId="0" applyNumberFormat="1" applyFill="1" applyBorder="1"/>
    <xf numFmtId="0" fontId="0" fillId="9" borderId="1" xfId="0" applyFill="1" applyBorder="1"/>
    <xf numFmtId="164" fontId="0" fillId="9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FFFF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2640A-661D-4CD4-A501-A1576BDB51C9}">
  <dimension ref="A1:E88"/>
  <sheetViews>
    <sheetView zoomScale="115" zoomScaleNormal="115" workbookViewId="0">
      <pane ySplit="1" topLeftCell="A2" activePane="bottomLeft" state="frozen"/>
      <selection pane="bottomLeft" activeCell="B60" sqref="B60"/>
    </sheetView>
  </sheetViews>
  <sheetFormatPr defaultRowHeight="14.4" x14ac:dyDescent="0.3"/>
  <cols>
    <col min="1" max="1" width="13.5546875" customWidth="1"/>
    <col min="2" max="2" width="19.109375" customWidth="1"/>
    <col min="3" max="3" width="15.33203125" customWidth="1"/>
    <col min="4" max="4" width="24.88671875" customWidth="1"/>
    <col min="5" max="5" width="17.21875" bestFit="1" customWidth="1"/>
  </cols>
  <sheetData>
    <row r="1" spans="1:5" x14ac:dyDescent="0.3">
      <c r="A1" s="7" t="s">
        <v>4</v>
      </c>
      <c r="B1" s="7" t="s">
        <v>0</v>
      </c>
      <c r="C1" s="7" t="s">
        <v>1</v>
      </c>
      <c r="D1" s="7" t="s">
        <v>3</v>
      </c>
      <c r="E1" s="7" t="s">
        <v>5</v>
      </c>
    </row>
    <row r="2" spans="1:5" x14ac:dyDescent="0.3">
      <c r="A2" s="1">
        <v>2199</v>
      </c>
      <c r="B2" s="1">
        <v>144</v>
      </c>
      <c r="C2" s="1">
        <v>1</v>
      </c>
      <c r="D2" s="1">
        <v>86</v>
      </c>
      <c r="E2" s="1" t="str" cm="1">
        <f t="array" ref="E2">_xlfn.TEXTJOIN(", ",TRUE,_xlfn._xlws.FILTER(C:C,B:B=B2))</f>
        <v>1</v>
      </c>
    </row>
    <row r="3" spans="1:5" x14ac:dyDescent="0.3">
      <c r="A3" s="1">
        <v>2199</v>
      </c>
      <c r="B3" s="1">
        <v>145</v>
      </c>
      <c r="C3" s="1">
        <v>2</v>
      </c>
      <c r="D3" s="1">
        <v>87</v>
      </c>
      <c r="E3" s="1" t="str" cm="1">
        <f t="array" ref="E3">_xlfn.TEXTJOIN(", ",TRUE,_xlfn._xlws.FILTER(C:C,B:B=B3))</f>
        <v>2</v>
      </c>
    </row>
    <row r="4" spans="1:5" x14ac:dyDescent="0.3">
      <c r="A4" s="1">
        <v>2199</v>
      </c>
      <c r="B4" s="1">
        <v>146</v>
      </c>
      <c r="C4" s="1">
        <v>6</v>
      </c>
      <c r="D4" s="1">
        <v>88</v>
      </c>
      <c r="E4" s="1" t="str" cm="1">
        <f t="array" ref="E4">_xlfn.TEXTJOIN(", ",TRUE,_xlfn._xlws.FILTER(C:C,B:B=B4))</f>
        <v>6, 8, 9</v>
      </c>
    </row>
    <row r="5" spans="1:5" x14ac:dyDescent="0.3">
      <c r="A5" s="1">
        <v>2199</v>
      </c>
      <c r="B5" s="1">
        <v>146</v>
      </c>
      <c r="C5" s="1">
        <v>8</v>
      </c>
      <c r="D5" s="1">
        <v>88</v>
      </c>
      <c r="E5" s="1" t="str" cm="1">
        <f t="array" ref="E5">_xlfn.TEXTJOIN(", ",TRUE,_xlfn._xlws.FILTER(C:C,B:B=B5))</f>
        <v>6, 8, 9</v>
      </c>
    </row>
    <row r="6" spans="1:5" x14ac:dyDescent="0.3">
      <c r="A6" s="1">
        <v>2199</v>
      </c>
      <c r="B6" s="1">
        <v>146</v>
      </c>
      <c r="C6" s="1">
        <v>9</v>
      </c>
      <c r="D6" s="1">
        <v>88</v>
      </c>
      <c r="E6" s="1" t="str" cm="1">
        <f t="array" ref="E6">_xlfn.TEXTJOIN(", ",TRUE,_xlfn._xlws.FILTER(C:C,B:B=B6))</f>
        <v>6, 8, 9</v>
      </c>
    </row>
    <row r="7" spans="1:5" x14ac:dyDescent="0.3">
      <c r="A7" s="1">
        <v>2199</v>
      </c>
      <c r="B7" s="1">
        <v>150</v>
      </c>
      <c r="C7" s="1">
        <v>10</v>
      </c>
      <c r="D7" s="1">
        <v>89</v>
      </c>
      <c r="E7" s="1" t="str" cm="1">
        <f t="array" ref="E7">_xlfn.TEXTJOIN(", ",TRUE,_xlfn._xlws.FILTER(C:C,B:B=B7))</f>
        <v>10, 11, 12</v>
      </c>
    </row>
    <row r="8" spans="1:5" x14ac:dyDescent="0.3">
      <c r="A8" s="1">
        <v>2199</v>
      </c>
      <c r="B8" s="1">
        <v>150</v>
      </c>
      <c r="C8" s="1">
        <v>11</v>
      </c>
      <c r="D8" s="1">
        <v>89</v>
      </c>
      <c r="E8" s="1" t="str" cm="1">
        <f t="array" ref="E8">_xlfn.TEXTJOIN(", ",TRUE,_xlfn._xlws.FILTER(C:C,B:B=B8))</f>
        <v>10, 11, 12</v>
      </c>
    </row>
    <row r="9" spans="1:5" x14ac:dyDescent="0.3">
      <c r="A9" s="1">
        <v>2199</v>
      </c>
      <c r="B9" s="1">
        <v>150</v>
      </c>
      <c r="C9" s="1">
        <v>12</v>
      </c>
      <c r="D9" s="1">
        <v>89</v>
      </c>
      <c r="E9" s="1" t="str" cm="1">
        <f t="array" ref="E9">_xlfn.TEXTJOIN(", ",TRUE,_xlfn._xlws.FILTER(C:C,B:B=B9))</f>
        <v>10, 11, 12</v>
      </c>
    </row>
    <row r="10" spans="1:5" x14ac:dyDescent="0.3">
      <c r="A10" s="1">
        <v>2199</v>
      </c>
      <c r="B10" s="1">
        <v>129</v>
      </c>
      <c r="C10" s="1">
        <v>13</v>
      </c>
      <c r="D10" s="1">
        <v>90</v>
      </c>
      <c r="E10" s="1" t="str" cm="1">
        <f t="array" ref="E10">_xlfn.TEXTJOIN(", ",TRUE,_xlfn._xlws.FILTER(C:C,B:B=B10))</f>
        <v>13, 14, 15, 16</v>
      </c>
    </row>
    <row r="11" spans="1:5" x14ac:dyDescent="0.3">
      <c r="A11" s="1">
        <v>2199</v>
      </c>
      <c r="B11" s="1">
        <v>129</v>
      </c>
      <c r="C11" s="1">
        <v>14</v>
      </c>
      <c r="D11" s="1">
        <v>90</v>
      </c>
      <c r="E11" s="1" t="str" cm="1">
        <f t="array" ref="E11">_xlfn.TEXTJOIN(", ",TRUE,_xlfn._xlws.FILTER(C:C,B:B=B11))</f>
        <v>13, 14, 15, 16</v>
      </c>
    </row>
    <row r="12" spans="1:5" x14ac:dyDescent="0.3">
      <c r="A12" s="1">
        <v>2199</v>
      </c>
      <c r="B12" s="1">
        <v>129</v>
      </c>
      <c r="C12" s="1">
        <v>15</v>
      </c>
      <c r="D12" s="1">
        <v>90</v>
      </c>
      <c r="E12" s="1" t="str" cm="1">
        <f t="array" ref="E12">_xlfn.TEXTJOIN(", ",TRUE,_xlfn._xlws.FILTER(C:C,B:B=B12))</f>
        <v>13, 14, 15, 16</v>
      </c>
    </row>
    <row r="13" spans="1:5" x14ac:dyDescent="0.3">
      <c r="A13" s="1">
        <v>2199</v>
      </c>
      <c r="B13" s="1">
        <v>129</v>
      </c>
      <c r="C13" s="1">
        <v>16</v>
      </c>
      <c r="D13" s="1">
        <v>90</v>
      </c>
      <c r="E13" s="1" t="str" cm="1">
        <f t="array" ref="E13">_xlfn.TEXTJOIN(", ",TRUE,_xlfn._xlws.FILTER(C:C,B:B=B13))</f>
        <v>13, 14, 15, 16</v>
      </c>
    </row>
    <row r="14" spans="1:5" x14ac:dyDescent="0.3">
      <c r="A14" s="1">
        <v>2199</v>
      </c>
      <c r="B14" s="1">
        <v>130</v>
      </c>
      <c r="C14" s="1">
        <v>17</v>
      </c>
      <c r="D14" s="1">
        <v>91</v>
      </c>
      <c r="E14" s="1" t="str" cm="1">
        <f t="array" ref="E14">_xlfn.TEXTJOIN(", ",TRUE,_xlfn._xlws.FILTER(C:C,B:B=B14))</f>
        <v>17, 18, 19, 20, 21, 22</v>
      </c>
    </row>
    <row r="15" spans="1:5" x14ac:dyDescent="0.3">
      <c r="A15" s="1">
        <v>2199</v>
      </c>
      <c r="B15" s="1">
        <v>130</v>
      </c>
      <c r="C15" s="1">
        <v>18</v>
      </c>
      <c r="D15" s="1">
        <v>91</v>
      </c>
      <c r="E15" s="1" t="str" cm="1">
        <f t="array" ref="E15">_xlfn.TEXTJOIN(", ",TRUE,_xlfn._xlws.FILTER(C:C,B:B=B15))</f>
        <v>17, 18, 19, 20, 21, 22</v>
      </c>
    </row>
    <row r="16" spans="1:5" x14ac:dyDescent="0.3">
      <c r="A16" s="1">
        <v>2199</v>
      </c>
      <c r="B16" s="1">
        <v>130</v>
      </c>
      <c r="C16" s="1">
        <v>19</v>
      </c>
      <c r="D16" s="1">
        <v>91</v>
      </c>
      <c r="E16" s="1" t="str" cm="1">
        <f t="array" ref="E16">_xlfn.TEXTJOIN(", ",TRUE,_xlfn._xlws.FILTER(C:C,B:B=B16))</f>
        <v>17, 18, 19, 20, 21, 22</v>
      </c>
    </row>
    <row r="17" spans="1:5" x14ac:dyDescent="0.3">
      <c r="A17" s="1">
        <v>2199</v>
      </c>
      <c r="B17" s="1">
        <v>130</v>
      </c>
      <c r="C17" s="1">
        <v>20</v>
      </c>
      <c r="D17" s="1">
        <v>91</v>
      </c>
      <c r="E17" s="1" t="str" cm="1">
        <f t="array" ref="E17">_xlfn.TEXTJOIN(", ",TRUE,_xlfn._xlws.FILTER(C:C,B:B=B17))</f>
        <v>17, 18, 19, 20, 21, 22</v>
      </c>
    </row>
    <row r="18" spans="1:5" x14ac:dyDescent="0.3">
      <c r="A18" s="1">
        <v>2199</v>
      </c>
      <c r="B18" s="1">
        <v>130</v>
      </c>
      <c r="C18" s="1">
        <v>21</v>
      </c>
      <c r="D18" s="1">
        <v>91</v>
      </c>
      <c r="E18" s="1" t="str" cm="1">
        <f t="array" ref="E18">_xlfn.TEXTJOIN(", ",TRUE,_xlfn._xlws.FILTER(C:C,B:B=B18))</f>
        <v>17, 18, 19, 20, 21, 22</v>
      </c>
    </row>
    <row r="19" spans="1:5" x14ac:dyDescent="0.3">
      <c r="A19" s="1">
        <v>2199</v>
      </c>
      <c r="B19" s="1">
        <v>130</v>
      </c>
      <c r="C19" s="1">
        <v>22</v>
      </c>
      <c r="D19" s="1">
        <v>91</v>
      </c>
      <c r="E19" s="1" t="str" cm="1">
        <f t="array" ref="E19">_xlfn.TEXTJOIN(", ",TRUE,_xlfn._xlws.FILTER(C:C,B:B=B19))</f>
        <v>17, 18, 19, 20, 21, 22</v>
      </c>
    </row>
    <row r="20" spans="1:5" x14ac:dyDescent="0.3">
      <c r="A20" s="2">
        <v>2200</v>
      </c>
      <c r="B20" s="2">
        <v>131</v>
      </c>
      <c r="C20" s="2">
        <v>23</v>
      </c>
      <c r="D20" s="2">
        <v>92</v>
      </c>
      <c r="E20" s="2" t="str" cm="1">
        <f t="array" ref="E20">_xlfn.TEXTJOIN(", ",TRUE,_xlfn._xlws.FILTER(C:C,B:B=B20))</f>
        <v>23, 24, 25, 26</v>
      </c>
    </row>
    <row r="21" spans="1:5" x14ac:dyDescent="0.3">
      <c r="A21" s="2">
        <v>2200</v>
      </c>
      <c r="B21" s="2">
        <v>131</v>
      </c>
      <c r="C21" s="2">
        <v>24</v>
      </c>
      <c r="D21" s="2">
        <v>92</v>
      </c>
      <c r="E21" s="2" t="str" cm="1">
        <f t="array" ref="E21">_xlfn.TEXTJOIN(", ",TRUE,_xlfn._xlws.FILTER(C:C,B:B=B21))</f>
        <v>23, 24, 25, 26</v>
      </c>
    </row>
    <row r="22" spans="1:5" x14ac:dyDescent="0.3">
      <c r="A22" s="2">
        <v>2200</v>
      </c>
      <c r="B22" s="2">
        <v>131</v>
      </c>
      <c r="C22" s="2">
        <v>25</v>
      </c>
      <c r="D22" s="2">
        <v>92</v>
      </c>
      <c r="E22" s="2" t="str" cm="1">
        <f t="array" ref="E22">_xlfn.TEXTJOIN(", ",TRUE,_xlfn._xlws.FILTER(C:C,B:B=B22))</f>
        <v>23, 24, 25, 26</v>
      </c>
    </row>
    <row r="23" spans="1:5" x14ac:dyDescent="0.3">
      <c r="A23" s="2">
        <v>2200</v>
      </c>
      <c r="B23" s="2">
        <v>131</v>
      </c>
      <c r="C23" s="2">
        <v>26</v>
      </c>
      <c r="D23" s="2">
        <v>92</v>
      </c>
      <c r="E23" s="2" t="str" cm="1">
        <f t="array" ref="E23">_xlfn.TEXTJOIN(", ",TRUE,_xlfn._xlws.FILTER(C:C,B:B=B23))</f>
        <v>23, 24, 25, 26</v>
      </c>
    </row>
    <row r="24" spans="1:5" x14ac:dyDescent="0.3">
      <c r="A24" s="2">
        <v>2200</v>
      </c>
      <c r="B24" s="2">
        <v>192</v>
      </c>
      <c r="C24" s="2">
        <v>27</v>
      </c>
      <c r="D24" s="2">
        <v>93</v>
      </c>
      <c r="E24" s="2" t="str" cm="1">
        <f t="array" ref="E24">_xlfn.TEXTJOIN(", ",TRUE,_xlfn._xlws.FILTER(C:C,B:B=B24))</f>
        <v>27, 28</v>
      </c>
    </row>
    <row r="25" spans="1:5" x14ac:dyDescent="0.3">
      <c r="A25" s="2">
        <v>2200</v>
      </c>
      <c r="B25" s="2">
        <v>192</v>
      </c>
      <c r="C25" s="2">
        <v>28</v>
      </c>
      <c r="D25" s="2">
        <v>93</v>
      </c>
      <c r="E25" s="2" t="str" cm="1">
        <f t="array" ref="E25">_xlfn.TEXTJOIN(", ",TRUE,_xlfn._xlws.FILTER(C:C,B:B=B25))</f>
        <v>27, 28</v>
      </c>
    </row>
    <row r="26" spans="1:5" x14ac:dyDescent="0.3">
      <c r="A26" s="2">
        <v>2200</v>
      </c>
      <c r="B26" s="2">
        <v>204</v>
      </c>
      <c r="C26" s="2">
        <v>51</v>
      </c>
      <c r="D26" s="2">
        <v>94</v>
      </c>
      <c r="E26" s="2" t="str" cm="1">
        <f t="array" ref="E26">_xlfn.TEXTJOIN(", ",TRUE,_xlfn._xlws.FILTER(C:C,B:B=B26))</f>
        <v>51</v>
      </c>
    </row>
    <row r="27" spans="1:5" x14ac:dyDescent="0.3">
      <c r="A27" s="2">
        <v>2200</v>
      </c>
      <c r="B27" s="2">
        <v>205</v>
      </c>
      <c r="C27" s="2">
        <v>7</v>
      </c>
      <c r="D27" s="2">
        <v>95</v>
      </c>
      <c r="E27" s="2" t="str" cm="1">
        <f t="array" ref="E27">_xlfn.TEXTJOIN(", ",TRUE,_xlfn._xlws.FILTER(C:C,B:B=B27))</f>
        <v>7</v>
      </c>
    </row>
    <row r="28" spans="1:5" x14ac:dyDescent="0.3">
      <c r="A28" s="2">
        <v>2200</v>
      </c>
      <c r="B28" s="2">
        <v>206</v>
      </c>
      <c r="C28" s="2">
        <v>5</v>
      </c>
      <c r="D28" s="2">
        <v>96</v>
      </c>
      <c r="E28" s="2" t="str" cm="1">
        <f t="array" ref="E28">_xlfn.TEXTJOIN(", ",TRUE,_xlfn._xlws.FILTER(C:C,B:B=B28))</f>
        <v>5</v>
      </c>
    </row>
    <row r="29" spans="1:5" x14ac:dyDescent="0.3">
      <c r="A29" s="2">
        <v>2200</v>
      </c>
      <c r="B29" s="2">
        <v>252</v>
      </c>
      <c r="C29" s="2">
        <v>29</v>
      </c>
      <c r="D29" s="2">
        <v>97</v>
      </c>
      <c r="E29" s="2" t="str" cm="1">
        <f t="array" ref="E29">_xlfn.TEXTJOIN(", ",TRUE,_xlfn._xlws.FILTER(C:C,B:B=B29))</f>
        <v>29, 30, 31</v>
      </c>
    </row>
    <row r="30" spans="1:5" x14ac:dyDescent="0.3">
      <c r="A30" s="2">
        <v>2200</v>
      </c>
      <c r="B30" s="2">
        <v>252</v>
      </c>
      <c r="C30" s="2">
        <v>30</v>
      </c>
      <c r="D30" s="2">
        <v>97</v>
      </c>
      <c r="E30" s="2" t="str" cm="1">
        <f t="array" ref="E30">_xlfn.TEXTJOIN(", ",TRUE,_xlfn._xlws.FILTER(C:C,B:B=B30))</f>
        <v>29, 30, 31</v>
      </c>
    </row>
    <row r="31" spans="1:5" x14ac:dyDescent="0.3">
      <c r="A31" s="2">
        <v>2200</v>
      </c>
      <c r="B31" s="2">
        <v>252</v>
      </c>
      <c r="C31" s="2">
        <v>31</v>
      </c>
      <c r="D31" s="2">
        <v>97</v>
      </c>
      <c r="E31" s="2" t="str" cm="1">
        <f t="array" ref="E31">_xlfn.TEXTJOIN(", ",TRUE,_xlfn._xlws.FILTER(C:C,B:B=B31))</f>
        <v>29, 30, 31</v>
      </c>
    </row>
    <row r="32" spans="1:5" x14ac:dyDescent="0.3">
      <c r="A32" s="3">
        <v>2203</v>
      </c>
      <c r="B32" s="3">
        <v>279</v>
      </c>
      <c r="C32" s="3">
        <v>32</v>
      </c>
      <c r="D32" s="3">
        <v>98</v>
      </c>
      <c r="E32" s="3" t="str" cm="1">
        <f t="array" ref="E32">_xlfn.TEXTJOIN(", ",TRUE,_xlfn._xlws.FILTER(C:C,B:B=B32))</f>
        <v>32, 33, 34, 35</v>
      </c>
    </row>
    <row r="33" spans="1:5" x14ac:dyDescent="0.3">
      <c r="A33" s="3">
        <v>2203</v>
      </c>
      <c r="B33" s="3">
        <v>279</v>
      </c>
      <c r="C33" s="3">
        <v>33</v>
      </c>
      <c r="D33" s="3">
        <v>98</v>
      </c>
      <c r="E33" s="3" t="str" cm="1">
        <f t="array" ref="E33">_xlfn.TEXTJOIN(", ",TRUE,_xlfn._xlws.FILTER(C:C,B:B=B33))</f>
        <v>32, 33, 34, 35</v>
      </c>
    </row>
    <row r="34" spans="1:5" x14ac:dyDescent="0.3">
      <c r="A34" s="3">
        <v>2203</v>
      </c>
      <c r="B34" s="3">
        <v>279</v>
      </c>
      <c r="C34" s="3">
        <v>34</v>
      </c>
      <c r="D34" s="3">
        <v>98</v>
      </c>
      <c r="E34" s="3" t="str" cm="1">
        <f t="array" ref="E34">_xlfn.TEXTJOIN(", ",TRUE,_xlfn._xlws.FILTER(C:C,B:B=B34))</f>
        <v>32, 33, 34, 35</v>
      </c>
    </row>
    <row r="35" spans="1:5" x14ac:dyDescent="0.3">
      <c r="A35" s="3">
        <v>2203</v>
      </c>
      <c r="B35" s="3">
        <v>279</v>
      </c>
      <c r="C35" s="3">
        <v>35</v>
      </c>
      <c r="D35" s="3">
        <v>98</v>
      </c>
      <c r="E35" s="3" t="str" cm="1">
        <f t="array" ref="E35">_xlfn.TEXTJOIN(", ",TRUE,_xlfn._xlws.FILTER(C:C,B:B=B35))</f>
        <v>32, 33, 34, 35</v>
      </c>
    </row>
    <row r="36" spans="1:5" x14ac:dyDescent="0.3">
      <c r="A36" s="3">
        <v>2203</v>
      </c>
      <c r="B36" s="3">
        <v>280</v>
      </c>
      <c r="C36" s="3">
        <v>36</v>
      </c>
      <c r="D36" s="3">
        <v>99</v>
      </c>
      <c r="E36" s="3" t="str" cm="1">
        <f t="array" ref="E36">_xlfn.TEXTJOIN(", ",TRUE,_xlfn._xlws.FILTER(C:C,B:B=B36))</f>
        <v>36, 37, 38</v>
      </c>
    </row>
    <row r="37" spans="1:5" x14ac:dyDescent="0.3">
      <c r="A37" s="3">
        <v>2203</v>
      </c>
      <c r="B37" s="3">
        <v>280</v>
      </c>
      <c r="C37" s="3">
        <v>37</v>
      </c>
      <c r="D37" s="3">
        <v>99</v>
      </c>
      <c r="E37" s="3" t="str" cm="1">
        <f t="array" ref="E37">_xlfn.TEXTJOIN(", ",TRUE,_xlfn._xlws.FILTER(C:C,B:B=B37))</f>
        <v>36, 37, 38</v>
      </c>
    </row>
    <row r="38" spans="1:5" x14ac:dyDescent="0.3">
      <c r="A38" s="3">
        <v>2203</v>
      </c>
      <c r="B38" s="3">
        <v>280</v>
      </c>
      <c r="C38" s="3">
        <v>38</v>
      </c>
      <c r="D38" s="3">
        <v>99</v>
      </c>
      <c r="E38" s="3" t="str" cm="1">
        <f t="array" ref="E38">_xlfn.TEXTJOIN(", ",TRUE,_xlfn._xlws.FILTER(C:C,B:B=B38))</f>
        <v>36, 37, 38</v>
      </c>
    </row>
    <row r="39" spans="1:5" x14ac:dyDescent="0.3">
      <c r="A39" s="3">
        <v>2203</v>
      </c>
      <c r="B39" s="3">
        <v>281</v>
      </c>
      <c r="C39" s="3">
        <v>39</v>
      </c>
      <c r="D39" s="3">
        <v>100</v>
      </c>
      <c r="E39" s="3" t="str" cm="1">
        <f t="array" ref="E39">_xlfn.TEXTJOIN(", ",TRUE,_xlfn._xlws.FILTER(C:C,B:B=B39))</f>
        <v>39, 40, 41, 42</v>
      </c>
    </row>
    <row r="40" spans="1:5" x14ac:dyDescent="0.3">
      <c r="A40" s="3">
        <v>2203</v>
      </c>
      <c r="B40" s="3">
        <v>281</v>
      </c>
      <c r="C40" s="3">
        <v>40</v>
      </c>
      <c r="D40" s="3">
        <v>100</v>
      </c>
      <c r="E40" s="3" t="str" cm="1">
        <f t="array" ref="E40">_xlfn.TEXTJOIN(", ",TRUE,_xlfn._xlws.FILTER(C:C,B:B=B40))</f>
        <v>39, 40, 41, 42</v>
      </c>
    </row>
    <row r="41" spans="1:5" x14ac:dyDescent="0.3">
      <c r="A41" s="3">
        <v>2203</v>
      </c>
      <c r="B41" s="3">
        <v>281</v>
      </c>
      <c r="C41" s="3">
        <v>41</v>
      </c>
      <c r="D41" s="3">
        <v>100</v>
      </c>
      <c r="E41" s="3" t="str" cm="1">
        <f t="array" ref="E41">_xlfn.TEXTJOIN(", ",TRUE,_xlfn._xlws.FILTER(C:C,B:B=B41))</f>
        <v>39, 40, 41, 42</v>
      </c>
    </row>
    <row r="42" spans="1:5" x14ac:dyDescent="0.3">
      <c r="A42" s="3">
        <v>2203</v>
      </c>
      <c r="B42" s="3">
        <v>281</v>
      </c>
      <c r="C42" s="3">
        <v>42</v>
      </c>
      <c r="D42" s="3">
        <v>100</v>
      </c>
      <c r="E42" s="3" t="str" cm="1">
        <f t="array" ref="E42">_xlfn.TEXTJOIN(", ",TRUE,_xlfn._xlws.FILTER(C:C,B:B=B42))</f>
        <v>39, 40, 41, 42</v>
      </c>
    </row>
    <row r="43" spans="1:5" x14ac:dyDescent="0.3">
      <c r="A43" s="3">
        <v>2203</v>
      </c>
      <c r="B43" s="3">
        <v>282</v>
      </c>
      <c r="C43" s="3">
        <v>43</v>
      </c>
      <c r="D43" s="3">
        <v>101</v>
      </c>
      <c r="E43" s="3" t="str" cm="1">
        <f t="array" ref="E43">_xlfn.TEXTJOIN(", ",TRUE,_xlfn._xlws.FILTER(C:C,B:B=B43))</f>
        <v>43, 44, 45, 46</v>
      </c>
    </row>
    <row r="44" spans="1:5" x14ac:dyDescent="0.3">
      <c r="A44" s="3">
        <v>2203</v>
      </c>
      <c r="B44" s="3">
        <v>282</v>
      </c>
      <c r="C44" s="3">
        <v>44</v>
      </c>
      <c r="D44" s="3">
        <v>101</v>
      </c>
      <c r="E44" s="3" t="str" cm="1">
        <f t="array" ref="E44">_xlfn.TEXTJOIN(", ",TRUE,_xlfn._xlws.FILTER(C:C,B:B=B44))</f>
        <v>43, 44, 45, 46</v>
      </c>
    </row>
    <row r="45" spans="1:5" x14ac:dyDescent="0.3">
      <c r="A45" s="3">
        <v>2203</v>
      </c>
      <c r="B45" s="3">
        <v>282</v>
      </c>
      <c r="C45" s="3">
        <v>45</v>
      </c>
      <c r="D45" s="3">
        <v>101</v>
      </c>
      <c r="E45" s="3" t="str" cm="1">
        <f t="array" ref="E45">_xlfn.TEXTJOIN(", ",TRUE,_xlfn._xlws.FILTER(C:C,B:B=B45))</f>
        <v>43, 44, 45, 46</v>
      </c>
    </row>
    <row r="46" spans="1:5" x14ac:dyDescent="0.3">
      <c r="A46" s="3">
        <v>2203</v>
      </c>
      <c r="B46" s="3">
        <v>282</v>
      </c>
      <c r="C46" s="3">
        <v>46</v>
      </c>
      <c r="D46" s="3">
        <v>101</v>
      </c>
      <c r="E46" s="3" t="str" cm="1">
        <f t="array" ref="E46">_xlfn.TEXTJOIN(", ",TRUE,_xlfn._xlws.FILTER(C:C,B:B=B46))</f>
        <v>43, 44, 45, 46</v>
      </c>
    </row>
    <row r="47" spans="1:5" x14ac:dyDescent="0.3">
      <c r="A47" s="3">
        <v>2203</v>
      </c>
      <c r="B47" s="3">
        <v>151</v>
      </c>
      <c r="C47" s="3">
        <v>47</v>
      </c>
      <c r="D47" s="3">
        <v>102</v>
      </c>
      <c r="E47" s="3" t="str" cm="1">
        <f t="array" ref="E47">_xlfn.TEXTJOIN(", ",TRUE,_xlfn._xlws.FILTER(C:C,B:B=B47))</f>
        <v>47, 48, 49</v>
      </c>
    </row>
    <row r="48" spans="1:5" x14ac:dyDescent="0.3">
      <c r="A48" s="3">
        <v>2203</v>
      </c>
      <c r="B48" s="3">
        <v>151</v>
      </c>
      <c r="C48" s="3">
        <v>48</v>
      </c>
      <c r="D48" s="3">
        <v>102</v>
      </c>
      <c r="E48" s="3" t="str" cm="1">
        <f t="array" ref="E48">_xlfn.TEXTJOIN(", ",TRUE,_xlfn._xlws.FILTER(C:C,B:B=B48))</f>
        <v>47, 48, 49</v>
      </c>
    </row>
    <row r="49" spans="1:5" x14ac:dyDescent="0.3">
      <c r="A49" s="3">
        <v>2203</v>
      </c>
      <c r="B49" s="3">
        <v>151</v>
      </c>
      <c r="C49" s="3">
        <v>49</v>
      </c>
      <c r="D49" s="3">
        <v>102</v>
      </c>
      <c r="E49" s="3" t="str" cm="1">
        <f t="array" ref="E49">_xlfn.TEXTJOIN(", ",TRUE,_xlfn._xlws.FILTER(C:C,B:B=B49))</f>
        <v>47, 48, 49</v>
      </c>
    </row>
    <row r="50" spans="1:5" x14ac:dyDescent="0.3">
      <c r="A50" s="3">
        <v>2203</v>
      </c>
      <c r="B50" s="3">
        <v>152</v>
      </c>
      <c r="C50" s="3">
        <v>50</v>
      </c>
      <c r="D50" s="3">
        <v>103</v>
      </c>
      <c r="E50" s="3" t="str" cm="1">
        <f t="array" ref="E50">_xlfn.TEXTJOIN(", ",TRUE,_xlfn._xlws.FILTER(C:C,B:B=B50))</f>
        <v>50, 52, 53</v>
      </c>
    </row>
    <row r="51" spans="1:5" x14ac:dyDescent="0.3">
      <c r="A51" s="3">
        <v>2203</v>
      </c>
      <c r="B51" s="3">
        <v>152</v>
      </c>
      <c r="C51" s="3">
        <v>52</v>
      </c>
      <c r="D51" s="3">
        <v>103</v>
      </c>
      <c r="E51" s="3" t="str" cm="1">
        <f t="array" ref="E51">_xlfn.TEXTJOIN(", ",TRUE,_xlfn._xlws.FILTER(C:C,B:B=B51))</f>
        <v>50, 52, 53</v>
      </c>
    </row>
    <row r="52" spans="1:5" x14ac:dyDescent="0.3">
      <c r="A52" s="3">
        <v>2203</v>
      </c>
      <c r="B52" s="3">
        <v>152</v>
      </c>
      <c r="C52" s="3">
        <v>53</v>
      </c>
      <c r="D52" s="3">
        <v>103</v>
      </c>
      <c r="E52" s="3" t="str" cm="1">
        <f t="array" ref="E52">_xlfn.TEXTJOIN(", ",TRUE,_xlfn._xlws.FILTER(C:C,B:B=B52))</f>
        <v>50, 52, 53</v>
      </c>
    </row>
    <row r="53" spans="1:5" x14ac:dyDescent="0.3">
      <c r="A53" s="4">
        <v>2204</v>
      </c>
      <c r="B53" s="4">
        <v>193</v>
      </c>
      <c r="C53" s="4">
        <v>54</v>
      </c>
      <c r="D53" s="4">
        <v>104</v>
      </c>
      <c r="E53" s="4" t="str" cm="1">
        <f t="array" ref="E53">_xlfn.TEXTJOIN(", ",TRUE,_xlfn._xlws.FILTER(C:C,B:B=B53))</f>
        <v>54, 55</v>
      </c>
    </row>
    <row r="54" spans="1:5" x14ac:dyDescent="0.3">
      <c r="A54" s="4">
        <v>2204</v>
      </c>
      <c r="B54" s="4">
        <v>193</v>
      </c>
      <c r="C54" s="4">
        <v>55</v>
      </c>
      <c r="D54" s="4">
        <v>104</v>
      </c>
      <c r="E54" s="4" t="str" cm="1">
        <f t="array" ref="E54">_xlfn.TEXTJOIN(", ",TRUE,_xlfn._xlws.FILTER(C:C,B:B=B54))</f>
        <v>54, 55</v>
      </c>
    </row>
    <row r="55" spans="1:5" x14ac:dyDescent="0.3">
      <c r="A55" s="4">
        <v>2204</v>
      </c>
      <c r="B55" s="4">
        <v>194</v>
      </c>
      <c r="C55" s="4">
        <v>56</v>
      </c>
      <c r="D55" s="4">
        <v>105</v>
      </c>
      <c r="E55" s="4" t="str" cm="1">
        <f t="array" ref="E55">_xlfn.TEXTJOIN(", ",TRUE,_xlfn._xlws.FILTER(C:C,B:B=B55))</f>
        <v>56, 57</v>
      </c>
    </row>
    <row r="56" spans="1:5" x14ac:dyDescent="0.3">
      <c r="A56" s="4">
        <v>2204</v>
      </c>
      <c r="B56" s="4">
        <v>194</v>
      </c>
      <c r="C56" s="4">
        <v>57</v>
      </c>
      <c r="D56" s="4">
        <v>105</v>
      </c>
      <c r="E56" s="4" t="str" cm="1">
        <f t="array" ref="E56">_xlfn.TEXTJOIN(", ",TRUE,_xlfn._xlws.FILTER(C:C,B:B=B56))</f>
        <v>56, 57</v>
      </c>
    </row>
    <row r="57" spans="1:5" x14ac:dyDescent="0.3">
      <c r="A57" s="4">
        <v>2204</v>
      </c>
      <c r="B57" s="4">
        <v>124</v>
      </c>
      <c r="C57" s="4">
        <v>58</v>
      </c>
      <c r="D57" s="4">
        <v>106</v>
      </c>
      <c r="E57" s="4" t="str" cm="1">
        <f t="array" ref="E57">_xlfn.TEXTJOIN(", ",TRUE,_xlfn._xlws.FILTER(C:C,B:B=B57))</f>
        <v>58, 59</v>
      </c>
    </row>
    <row r="58" spans="1:5" x14ac:dyDescent="0.3">
      <c r="A58" s="4">
        <v>2204</v>
      </c>
      <c r="B58" s="4">
        <v>124</v>
      </c>
      <c r="C58" s="4">
        <v>59</v>
      </c>
      <c r="D58" s="4">
        <v>106</v>
      </c>
      <c r="E58" s="4" t="str" cm="1">
        <f t="array" ref="E58">_xlfn.TEXTJOIN(", ",TRUE,_xlfn._xlws.FILTER(C:C,B:B=B58))</f>
        <v>58, 59</v>
      </c>
    </row>
    <row r="59" spans="1:5" x14ac:dyDescent="0.3">
      <c r="A59" s="4">
        <v>2204</v>
      </c>
      <c r="B59" s="4">
        <v>125</v>
      </c>
      <c r="C59" s="4">
        <v>60</v>
      </c>
      <c r="D59" s="4">
        <v>107</v>
      </c>
      <c r="E59" s="4" t="str" cm="1">
        <f t="array" ref="E59">_xlfn.TEXTJOIN(", ",TRUE,_xlfn._xlws.FILTER(C:C,B:B=B59))</f>
        <v>60, 61, 62</v>
      </c>
    </row>
    <row r="60" spans="1:5" x14ac:dyDescent="0.3">
      <c r="A60" s="4">
        <v>2204</v>
      </c>
      <c r="B60" s="4">
        <v>125</v>
      </c>
      <c r="C60" s="4">
        <v>61</v>
      </c>
      <c r="D60" s="4">
        <v>107</v>
      </c>
      <c r="E60" s="4" t="str" cm="1">
        <f t="array" ref="E60">_xlfn.TEXTJOIN(", ",TRUE,_xlfn._xlws.FILTER(C:C,B:B=B60))</f>
        <v>60, 61, 62</v>
      </c>
    </row>
    <row r="61" spans="1:5" x14ac:dyDescent="0.3">
      <c r="A61" s="4">
        <v>2204</v>
      </c>
      <c r="B61" s="4">
        <v>125</v>
      </c>
      <c r="C61" s="4">
        <v>62</v>
      </c>
      <c r="D61" s="4">
        <v>107</v>
      </c>
      <c r="E61" s="4" t="str" cm="1">
        <f t="array" ref="E61">_xlfn.TEXTJOIN(", ",TRUE,_xlfn._xlws.FILTER(C:C,B:B=B61))</f>
        <v>60, 61, 62</v>
      </c>
    </row>
    <row r="62" spans="1:5" x14ac:dyDescent="0.3">
      <c r="A62" s="4">
        <v>2204</v>
      </c>
      <c r="B62" s="4">
        <v>44</v>
      </c>
      <c r="C62" s="4">
        <v>63</v>
      </c>
      <c r="D62" s="4">
        <v>108</v>
      </c>
      <c r="E62" s="4" t="str" cm="1">
        <f t="array" ref="E62">_xlfn.TEXTJOIN(", ",TRUE,_xlfn._xlws.FILTER(C:C,B:B=B62))</f>
        <v>63, 64</v>
      </c>
    </row>
    <row r="63" spans="1:5" x14ac:dyDescent="0.3">
      <c r="A63" s="4">
        <v>2204</v>
      </c>
      <c r="B63" s="4">
        <v>44</v>
      </c>
      <c r="C63" s="4">
        <v>64</v>
      </c>
      <c r="D63" s="4">
        <v>108</v>
      </c>
      <c r="E63" s="4" t="str" cm="1">
        <f t="array" ref="E63">_xlfn.TEXTJOIN(", ",TRUE,_xlfn._xlws.FILTER(C:C,B:B=B63))</f>
        <v>63, 64</v>
      </c>
    </row>
    <row r="64" spans="1:5" x14ac:dyDescent="0.3">
      <c r="A64" s="4">
        <v>2204</v>
      </c>
      <c r="B64" s="4">
        <v>43</v>
      </c>
      <c r="C64" s="4">
        <v>65</v>
      </c>
      <c r="D64" s="4">
        <v>109</v>
      </c>
      <c r="E64" s="4" t="str" cm="1">
        <f t="array" ref="E64">_xlfn.TEXTJOIN(", ",TRUE,_xlfn._xlws.FILTER(C:C,B:B=B64))</f>
        <v>65, 66</v>
      </c>
    </row>
    <row r="65" spans="1:5" x14ac:dyDescent="0.3">
      <c r="A65" s="4">
        <v>2204</v>
      </c>
      <c r="B65" s="4">
        <v>43</v>
      </c>
      <c r="C65" s="4">
        <v>66</v>
      </c>
      <c r="D65" s="4">
        <v>109</v>
      </c>
      <c r="E65" s="4" t="str" cm="1">
        <f t="array" ref="E65">_xlfn.TEXTJOIN(", ",TRUE,_xlfn._xlws.FILTER(C:C,B:B=B65))</f>
        <v>65, 66</v>
      </c>
    </row>
    <row r="66" spans="1:5" x14ac:dyDescent="0.3">
      <c r="A66" s="5">
        <v>2205</v>
      </c>
      <c r="B66" s="5">
        <v>18</v>
      </c>
      <c r="C66" s="5">
        <v>67</v>
      </c>
      <c r="D66" s="5">
        <v>110</v>
      </c>
      <c r="E66" s="5" t="str" cm="1">
        <f t="array" ref="E66">_xlfn.TEXTJOIN(", ",TRUE,_xlfn._xlws.FILTER(C:C,B:B=B66))</f>
        <v>67, 68, 69</v>
      </c>
    </row>
    <row r="67" spans="1:5" x14ac:dyDescent="0.3">
      <c r="A67" s="5">
        <v>2205</v>
      </c>
      <c r="B67" s="5">
        <v>18</v>
      </c>
      <c r="C67" s="5">
        <v>68</v>
      </c>
      <c r="D67" s="5">
        <v>110</v>
      </c>
      <c r="E67" s="5" t="str" cm="1">
        <f t="array" ref="E67">_xlfn.TEXTJOIN(", ",TRUE,_xlfn._xlws.FILTER(C:C,B:B=B67))</f>
        <v>67, 68, 69</v>
      </c>
    </row>
    <row r="68" spans="1:5" x14ac:dyDescent="0.3">
      <c r="A68" s="5">
        <v>2205</v>
      </c>
      <c r="B68" s="5">
        <v>18</v>
      </c>
      <c r="C68" s="5">
        <v>69</v>
      </c>
      <c r="D68" s="5">
        <v>110</v>
      </c>
      <c r="E68" s="5" t="str" cm="1">
        <f t="array" ref="E68">_xlfn.TEXTJOIN(", ",TRUE,_xlfn._xlws.FILTER(C:C,B:B=B68))</f>
        <v>67, 68, 69</v>
      </c>
    </row>
    <row r="69" spans="1:5" x14ac:dyDescent="0.3">
      <c r="A69" s="5">
        <v>2205</v>
      </c>
      <c r="B69" s="5">
        <v>19</v>
      </c>
      <c r="C69" s="5">
        <v>70</v>
      </c>
      <c r="D69" s="5">
        <v>111</v>
      </c>
      <c r="E69" s="5" t="str" cm="1">
        <f t="array" ref="E69">_xlfn.TEXTJOIN(", ",TRUE,_xlfn._xlws.FILTER(C:C,B:B=B69))</f>
        <v>70, 71, 72</v>
      </c>
    </row>
    <row r="70" spans="1:5" x14ac:dyDescent="0.3">
      <c r="A70" s="5">
        <v>2205</v>
      </c>
      <c r="B70" s="5">
        <v>19</v>
      </c>
      <c r="C70" s="5">
        <v>71</v>
      </c>
      <c r="D70" s="5">
        <v>111</v>
      </c>
      <c r="E70" s="5" t="str" cm="1">
        <f t="array" ref="E70">_xlfn.TEXTJOIN(", ",TRUE,_xlfn._xlws.FILTER(C:C,B:B=B70))</f>
        <v>70, 71, 72</v>
      </c>
    </row>
    <row r="71" spans="1:5" x14ac:dyDescent="0.3">
      <c r="A71" s="5">
        <v>2205</v>
      </c>
      <c r="B71" s="5">
        <v>19</v>
      </c>
      <c r="C71" s="5">
        <v>72</v>
      </c>
      <c r="D71" s="5">
        <v>111</v>
      </c>
      <c r="E71" s="5" t="str" cm="1">
        <f t="array" ref="E71">_xlfn.TEXTJOIN(", ",TRUE,_xlfn._xlws.FILTER(C:C,B:B=B71))</f>
        <v>70, 71, 72</v>
      </c>
    </row>
    <row r="72" spans="1:5" x14ac:dyDescent="0.3">
      <c r="A72" s="5">
        <v>2205</v>
      </c>
      <c r="B72" s="5">
        <v>20</v>
      </c>
      <c r="C72" s="5">
        <v>73</v>
      </c>
      <c r="D72" s="5">
        <v>112</v>
      </c>
      <c r="E72" s="5" t="str" cm="1">
        <f t="array" ref="E72">_xlfn.TEXTJOIN(", ",TRUE,_xlfn._xlws.FILTER(C:C,B:B=B72))</f>
        <v>73, 74</v>
      </c>
    </row>
    <row r="73" spans="1:5" x14ac:dyDescent="0.3">
      <c r="A73" s="5">
        <v>2205</v>
      </c>
      <c r="B73" s="5">
        <v>20</v>
      </c>
      <c r="C73" s="5">
        <v>74</v>
      </c>
      <c r="D73" s="5">
        <v>112</v>
      </c>
      <c r="E73" s="5" t="str" cm="1">
        <f t="array" ref="E73">_xlfn.TEXTJOIN(", ",TRUE,_xlfn._xlws.FILTER(C:C,B:B=B73))</f>
        <v>73, 74</v>
      </c>
    </row>
    <row r="74" spans="1:5" x14ac:dyDescent="0.3">
      <c r="A74" s="5">
        <v>2205</v>
      </c>
      <c r="B74" s="5">
        <v>237</v>
      </c>
      <c r="C74" s="5">
        <v>75</v>
      </c>
      <c r="D74" s="5">
        <v>113</v>
      </c>
      <c r="E74" s="5" t="str" cm="1">
        <f t="array" ref="E74">_xlfn.TEXTJOIN(", ",TRUE,_xlfn._xlws.FILTER(C:C,B:B=B74))</f>
        <v>75, 76, 77</v>
      </c>
    </row>
    <row r="75" spans="1:5" x14ac:dyDescent="0.3">
      <c r="A75" s="5">
        <v>2205</v>
      </c>
      <c r="B75" s="5">
        <v>237</v>
      </c>
      <c r="C75" s="5">
        <v>76</v>
      </c>
      <c r="D75" s="5">
        <v>113</v>
      </c>
      <c r="E75" s="5" t="str" cm="1">
        <f t="array" ref="E75">_xlfn.TEXTJOIN(", ",TRUE,_xlfn._xlws.FILTER(C:C,B:B=B75))</f>
        <v>75, 76, 77</v>
      </c>
    </row>
    <row r="76" spans="1:5" x14ac:dyDescent="0.3">
      <c r="A76" s="5">
        <v>2205</v>
      </c>
      <c r="B76" s="5">
        <v>237</v>
      </c>
      <c r="C76" s="5">
        <v>77</v>
      </c>
      <c r="D76" s="5">
        <v>113</v>
      </c>
      <c r="E76" s="5" t="str" cm="1">
        <f t="array" ref="E76">_xlfn.TEXTJOIN(", ",TRUE,_xlfn._xlws.FILTER(C:C,B:B=B76))</f>
        <v>75, 76, 77</v>
      </c>
    </row>
    <row r="77" spans="1:5" x14ac:dyDescent="0.3">
      <c r="A77" s="5">
        <v>2205</v>
      </c>
      <c r="B77" s="5">
        <v>238</v>
      </c>
      <c r="C77" s="5">
        <v>78</v>
      </c>
      <c r="D77" s="5">
        <v>114</v>
      </c>
      <c r="E77" s="5" t="str" cm="1">
        <f t="array" ref="E77">_xlfn.TEXTJOIN(", ",TRUE,_xlfn._xlws.FILTER(C:C,B:B=B77))</f>
        <v>78, 79</v>
      </c>
    </row>
    <row r="78" spans="1:5" x14ac:dyDescent="0.3">
      <c r="A78" s="5">
        <v>2205</v>
      </c>
      <c r="B78" s="5">
        <v>238</v>
      </c>
      <c r="C78" s="5">
        <v>79</v>
      </c>
      <c r="D78" s="5">
        <v>114</v>
      </c>
      <c r="E78" s="5" t="str" cm="1">
        <f t="array" ref="E78">_xlfn.TEXTJOIN(", ",TRUE,_xlfn._xlws.FILTER(C:C,B:B=B78))</f>
        <v>78, 79</v>
      </c>
    </row>
    <row r="79" spans="1:5" x14ac:dyDescent="0.3">
      <c r="A79" s="5">
        <v>2205</v>
      </c>
      <c r="B79" s="5">
        <v>239</v>
      </c>
      <c r="C79" s="5">
        <v>80</v>
      </c>
      <c r="D79" s="5">
        <v>115</v>
      </c>
      <c r="E79" s="5" t="str" cm="1">
        <f t="array" ref="E79">_xlfn.TEXTJOIN(", ",TRUE,_xlfn._xlws.FILTER(C:C,B:B=B79))</f>
        <v>80, 81, 82</v>
      </c>
    </row>
    <row r="80" spans="1:5" x14ac:dyDescent="0.3">
      <c r="A80" s="5">
        <v>2205</v>
      </c>
      <c r="B80" s="5">
        <v>239</v>
      </c>
      <c r="C80" s="5">
        <v>81</v>
      </c>
      <c r="D80" s="5">
        <v>115</v>
      </c>
      <c r="E80" s="5" t="str" cm="1">
        <f t="array" ref="E80">_xlfn.TEXTJOIN(", ",TRUE,_xlfn._xlws.FILTER(C:C,B:B=B80))</f>
        <v>80, 81, 82</v>
      </c>
    </row>
    <row r="81" spans="1:5" x14ac:dyDescent="0.3">
      <c r="A81" s="5">
        <v>2205</v>
      </c>
      <c r="B81" s="5">
        <v>239</v>
      </c>
      <c r="C81" s="5">
        <v>82</v>
      </c>
      <c r="D81" s="5">
        <v>115</v>
      </c>
      <c r="E81" s="5" t="str" cm="1">
        <f t="array" ref="E81">_xlfn.TEXTJOIN(", ",TRUE,_xlfn._xlws.FILTER(C:C,B:B=B81))</f>
        <v>80, 81, 82</v>
      </c>
    </row>
    <row r="82" spans="1:5" x14ac:dyDescent="0.3">
      <c r="A82" s="6">
        <v>2206</v>
      </c>
      <c r="B82" s="6">
        <v>56</v>
      </c>
      <c r="C82" s="6">
        <v>83</v>
      </c>
      <c r="D82" s="6">
        <v>116</v>
      </c>
      <c r="E82" s="6" t="str" cm="1">
        <f t="array" ref="E82">_xlfn.TEXTJOIN(", ",TRUE,_xlfn._xlws.FILTER(C:C,B:B=B82))</f>
        <v>83</v>
      </c>
    </row>
    <row r="83" spans="1:5" x14ac:dyDescent="0.3">
      <c r="A83" s="6">
        <v>2206</v>
      </c>
      <c r="B83" s="6">
        <v>63</v>
      </c>
      <c r="C83" s="6">
        <v>84</v>
      </c>
      <c r="D83" s="6">
        <v>117</v>
      </c>
      <c r="E83" s="6" t="str" cm="1">
        <f t="array" ref="E83">_xlfn.TEXTJOIN(", ",TRUE,_xlfn._xlws.FILTER(C:C,B:B=B83))</f>
        <v>84</v>
      </c>
    </row>
    <row r="84" spans="1:5" x14ac:dyDescent="0.3">
      <c r="A84" s="6">
        <v>2206</v>
      </c>
      <c r="B84" s="6">
        <v>64</v>
      </c>
      <c r="C84" s="6">
        <v>85</v>
      </c>
      <c r="D84" s="6">
        <v>118</v>
      </c>
      <c r="E84" s="6" t="str" cm="1">
        <f t="array" ref="E84">_xlfn.TEXTJOIN(", ",TRUE,_xlfn._xlws.FILTER(C:C,B:B=B84))</f>
        <v>85, 86</v>
      </c>
    </row>
    <row r="85" spans="1:5" x14ac:dyDescent="0.3">
      <c r="A85" s="6">
        <v>2206</v>
      </c>
      <c r="B85" s="6">
        <v>64</v>
      </c>
      <c r="C85" s="6">
        <v>86</v>
      </c>
      <c r="D85" s="6">
        <v>118</v>
      </c>
      <c r="E85" s="6" t="str" cm="1">
        <f t="array" ref="E85">_xlfn.TEXTJOIN(", ",TRUE,_xlfn._xlws.FILTER(C:C,B:B=B85))</f>
        <v>85, 86</v>
      </c>
    </row>
    <row r="86" spans="1:5" x14ac:dyDescent="0.3">
      <c r="A86" s="6">
        <v>2206</v>
      </c>
      <c r="B86" s="6">
        <v>105</v>
      </c>
      <c r="C86" s="6">
        <v>87</v>
      </c>
      <c r="D86" s="6">
        <v>119</v>
      </c>
      <c r="E86" s="6" t="str" cm="1">
        <f t="array" ref="E86">_xlfn.TEXTJOIN(", ",TRUE,_xlfn._xlws.FILTER(C:C,B:B=B86))</f>
        <v>87</v>
      </c>
    </row>
    <row r="87" spans="1:5" x14ac:dyDescent="0.3">
      <c r="A87" s="6">
        <v>2206</v>
      </c>
      <c r="B87" s="6">
        <v>106</v>
      </c>
      <c r="C87" s="6">
        <v>3</v>
      </c>
      <c r="D87" s="6">
        <v>120</v>
      </c>
      <c r="E87" s="6" t="str" cm="1">
        <f t="array" ref="E87">_xlfn.TEXTJOIN(", ",TRUE,_xlfn._xlws.FILTER(C:C,B:B=B87))</f>
        <v>3</v>
      </c>
    </row>
    <row r="88" spans="1:5" x14ac:dyDescent="0.3">
      <c r="A88" s="6">
        <v>2206</v>
      </c>
      <c r="B88" s="6">
        <v>107</v>
      </c>
      <c r="C88" s="6">
        <v>4</v>
      </c>
      <c r="D88" s="6">
        <v>121</v>
      </c>
      <c r="E88" s="6" t="str" cm="1">
        <f t="array" ref="E88">_xlfn.TEXTJOIN(", ",TRUE,_xlfn._xlws.FILTER(C:C,B:B=B88))</f>
        <v>4</v>
      </c>
    </row>
  </sheetData>
  <autoFilter ref="A1:D1" xr:uid="{6542640A-661D-4CD4-A501-A1576BDB51C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80EC-1757-4E83-BE7A-37AEDCB67911}">
  <sheetPr filterMode="1"/>
  <dimension ref="A1:I40"/>
  <sheetViews>
    <sheetView workbookViewId="0">
      <selection activeCell="I32" sqref="I32"/>
    </sheetView>
  </sheetViews>
  <sheetFormatPr defaultRowHeight="14.4" x14ac:dyDescent="0.3"/>
  <cols>
    <col min="2" max="2" width="10.77734375" bestFit="1" customWidth="1"/>
    <col min="4" max="4" width="17.21875" bestFit="1" customWidth="1"/>
    <col min="5" max="5" width="17.21875" style="8" customWidth="1"/>
    <col min="7" max="7" width="8.88671875" bestFit="1" customWidth="1"/>
    <col min="8" max="8" width="17.21875" bestFit="1" customWidth="1"/>
    <col min="9" max="9" width="9.109375" style="8"/>
  </cols>
  <sheetData>
    <row r="1" spans="1:6" x14ac:dyDescent="0.3">
      <c r="A1" s="9" t="s">
        <v>8</v>
      </c>
      <c r="B1" s="9" t="s">
        <v>14</v>
      </c>
      <c r="C1" s="9" t="s">
        <v>0</v>
      </c>
      <c r="D1" s="9" t="s">
        <v>6</v>
      </c>
      <c r="E1" s="10" t="s">
        <v>7</v>
      </c>
      <c r="F1" s="9" t="s">
        <v>10</v>
      </c>
    </row>
    <row r="2" spans="1:6" hidden="1" x14ac:dyDescent="0.3">
      <c r="A2" s="11" t="s">
        <v>9</v>
      </c>
      <c r="B2" s="11" t="s">
        <v>15</v>
      </c>
      <c r="C2" s="11">
        <v>144</v>
      </c>
      <c r="D2" s="11" t="str">
        <f>IF(C2="","",_xlfn.XLOOKUP(C2,'DAS PCIs (Use for Vlookup) '!$B:$B,'DAS PCIs (Use for Vlookup) '!$E:$E,"MACRO"))</f>
        <v>1</v>
      </c>
      <c r="E2" s="12">
        <v>0.5131</v>
      </c>
      <c r="F2" s="11" t="s">
        <v>11</v>
      </c>
    </row>
    <row r="3" spans="1:6" x14ac:dyDescent="0.3">
      <c r="A3" s="11" t="s">
        <v>2</v>
      </c>
      <c r="B3" s="11" t="s">
        <v>15</v>
      </c>
      <c r="C3" s="11">
        <v>144</v>
      </c>
      <c r="D3" s="11" t="str">
        <f>IF(C3="","",_xlfn.XLOOKUP(C3,'DAS PCIs (Use for Vlookup) '!$B:$B,'DAS PCIs (Use for Vlookup) '!$E:$E,"MACRO"))</f>
        <v>1</v>
      </c>
      <c r="E3" s="12">
        <v>0.4647</v>
      </c>
      <c r="F3" s="11" t="s">
        <v>11</v>
      </c>
    </row>
    <row r="4" spans="1:6" hidden="1" x14ac:dyDescent="0.3">
      <c r="A4" s="11" t="s">
        <v>9</v>
      </c>
      <c r="B4" s="11" t="s">
        <v>15</v>
      </c>
      <c r="C4" s="11">
        <v>145</v>
      </c>
      <c r="D4" s="11" t="str">
        <f>IF(C4="","",_xlfn.XLOOKUP(C4,'DAS PCIs (Use for Vlookup) '!$B:$B,'DAS PCIs (Use for Vlookup) '!$E:$E,"MACRO"))</f>
        <v>2</v>
      </c>
      <c r="E4" s="12">
        <v>0.34470000000000001</v>
      </c>
      <c r="F4" s="11" t="s">
        <v>11</v>
      </c>
    </row>
    <row r="5" spans="1:6" x14ac:dyDescent="0.3">
      <c r="A5" s="11" t="s">
        <v>2</v>
      </c>
      <c r="B5" s="11" t="s">
        <v>15</v>
      </c>
      <c r="C5" s="11">
        <v>145</v>
      </c>
      <c r="D5" s="11" t="str">
        <f>IF(C5="","",_xlfn.XLOOKUP(C5,'DAS PCIs (Use for Vlookup) '!$B:$B,'DAS PCIs (Use for Vlookup) '!$E:$E,"MACRO"))</f>
        <v>2</v>
      </c>
      <c r="E5" s="12">
        <v>0.31900000000000001</v>
      </c>
      <c r="F5" s="11" t="s">
        <v>11</v>
      </c>
    </row>
    <row r="6" spans="1:6" hidden="1" x14ac:dyDescent="0.3">
      <c r="A6" s="13" t="s">
        <v>9</v>
      </c>
      <c r="B6" s="13" t="s">
        <v>15</v>
      </c>
      <c r="C6" s="13">
        <v>130</v>
      </c>
      <c r="D6" s="13" t="str">
        <f>IF(C6="","",_xlfn.XLOOKUP(C6,'DAS PCIs (Use for Vlookup) '!$B:$B,'DAS PCIs (Use for Vlookup) '!$E:$E,"MACRO"))</f>
        <v>17, 18, 19, 20, 21, 22</v>
      </c>
      <c r="E6" s="14">
        <v>3.7900000000000003E-2</v>
      </c>
      <c r="F6" s="13" t="s">
        <v>13</v>
      </c>
    </row>
    <row r="7" spans="1:6" x14ac:dyDescent="0.3">
      <c r="A7" s="15" t="s">
        <v>2</v>
      </c>
      <c r="B7" s="15" t="s">
        <v>15</v>
      </c>
      <c r="C7" s="15">
        <v>458</v>
      </c>
      <c r="D7" s="15" t="str">
        <f>IF(C7="","",_xlfn.XLOOKUP(C7,'DAS PCIs (Use for Vlookup) '!$B:$B,'DAS PCIs (Use for Vlookup) '!$E:$E,"MACRO"))</f>
        <v>MACRO</v>
      </c>
      <c r="E7" s="16">
        <v>3.4700000000000002E-2</v>
      </c>
      <c r="F7" s="15" t="s">
        <v>12</v>
      </c>
    </row>
    <row r="8" spans="1:6" x14ac:dyDescent="0.3">
      <c r="A8" s="13" t="s">
        <v>2</v>
      </c>
      <c r="B8" s="13" t="s">
        <v>15</v>
      </c>
      <c r="C8" s="13">
        <v>130</v>
      </c>
      <c r="D8" s="13" t="str">
        <f>IF(C8="","",_xlfn.XLOOKUP(C8,'DAS PCIs (Use for Vlookup) '!$B:$B,'DAS PCIs (Use for Vlookup) '!$E:$E,"MACRO"))</f>
        <v>17, 18, 19, 20, 21, 22</v>
      </c>
      <c r="E8" s="14">
        <v>3.2199999999999999E-2</v>
      </c>
      <c r="F8" s="13" t="s">
        <v>13</v>
      </c>
    </row>
    <row r="9" spans="1:6" hidden="1" x14ac:dyDescent="0.3">
      <c r="A9" s="15" t="s">
        <v>9</v>
      </c>
      <c r="B9" s="15" t="s">
        <v>15</v>
      </c>
      <c r="C9" s="15">
        <v>438</v>
      </c>
      <c r="D9" s="15" t="str">
        <f>IF(C9="","",_xlfn.XLOOKUP(C9,'DAS PCIs (Use for Vlookup) '!$B:$B,'DAS PCIs (Use for Vlookup) '!$E:$E,"MACRO"))</f>
        <v>MACRO</v>
      </c>
      <c r="E9" s="16">
        <v>3.1300000000000001E-2</v>
      </c>
      <c r="F9" s="15" t="s">
        <v>12</v>
      </c>
    </row>
    <row r="10" spans="1:6" x14ac:dyDescent="0.3">
      <c r="A10" s="15" t="s">
        <v>2</v>
      </c>
      <c r="B10" s="15" t="s">
        <v>15</v>
      </c>
      <c r="C10" s="15">
        <v>472</v>
      </c>
      <c r="D10" s="15" t="str">
        <f>IF(C10="","",_xlfn.XLOOKUP(C10,'DAS PCIs (Use for Vlookup) '!$B:$B,'DAS PCIs (Use for Vlookup) '!$E:$E,"MACRO"))</f>
        <v>MACRO</v>
      </c>
      <c r="E10" s="16">
        <v>2.7099999999999999E-2</v>
      </c>
      <c r="F10" s="15" t="s">
        <v>12</v>
      </c>
    </row>
    <row r="11" spans="1:6" hidden="1" x14ac:dyDescent="0.3">
      <c r="A11" s="13" t="s">
        <v>9</v>
      </c>
      <c r="B11" s="13" t="s">
        <v>15</v>
      </c>
      <c r="C11" s="13">
        <v>150</v>
      </c>
      <c r="D11" s="13" t="str">
        <f>IF(C11="","",_xlfn.XLOOKUP(C11,'DAS PCIs (Use for Vlookup) '!$B:$B,'DAS PCIs (Use for Vlookup) '!$E:$E,"MACRO"))</f>
        <v>10, 11, 12</v>
      </c>
      <c r="E11" s="14">
        <v>2.5100000000000001E-2</v>
      </c>
      <c r="F11" s="13" t="s">
        <v>13</v>
      </c>
    </row>
    <row r="12" spans="1:6" x14ac:dyDescent="0.3">
      <c r="A12" s="15" t="s">
        <v>2</v>
      </c>
      <c r="B12" s="15" t="s">
        <v>15</v>
      </c>
      <c r="C12" s="15">
        <v>452</v>
      </c>
      <c r="D12" s="15" t="str">
        <f>IF(C12="","",_xlfn.XLOOKUP(C12,'DAS PCIs (Use for Vlookup) '!$B:$B,'DAS PCIs (Use for Vlookup) '!$E:$E,"MACRO"))</f>
        <v>MACRO</v>
      </c>
      <c r="E12" s="16">
        <v>2.1600000000000001E-2</v>
      </c>
      <c r="F12" s="15" t="s">
        <v>12</v>
      </c>
    </row>
    <row r="13" spans="1:6" x14ac:dyDescent="0.3">
      <c r="A13" s="15" t="s">
        <v>2</v>
      </c>
      <c r="B13" s="15" t="s">
        <v>15</v>
      </c>
      <c r="C13" s="15">
        <v>450</v>
      </c>
      <c r="D13" s="15" t="str">
        <f>IF(C13="","",_xlfn.XLOOKUP(C13,'DAS PCIs (Use for Vlookup) '!$B:$B,'DAS PCIs (Use for Vlookup) '!$E:$E,"MACRO"))</f>
        <v>MACRO</v>
      </c>
      <c r="E13" s="16">
        <v>2.1100000000000001E-2</v>
      </c>
      <c r="F13" s="15" t="s">
        <v>12</v>
      </c>
    </row>
    <row r="14" spans="1:6" hidden="1" x14ac:dyDescent="0.3">
      <c r="A14" s="13" t="s">
        <v>9</v>
      </c>
      <c r="B14" s="13" t="s">
        <v>15</v>
      </c>
      <c r="C14" s="13">
        <v>129</v>
      </c>
      <c r="D14" s="13" t="str">
        <f>IF(C14="","",_xlfn.XLOOKUP(C14,'DAS PCIs (Use for Vlookup) '!$B:$B,'DAS PCIs (Use for Vlookup) '!$E:$E,"MACRO"))</f>
        <v>13, 14, 15, 16</v>
      </c>
      <c r="E14" s="14">
        <v>1.7399999999999999E-2</v>
      </c>
      <c r="F14" s="13" t="s">
        <v>13</v>
      </c>
    </row>
    <row r="15" spans="1:6" hidden="1" x14ac:dyDescent="0.3">
      <c r="A15" s="13" t="s">
        <v>9</v>
      </c>
      <c r="B15" s="13" t="s">
        <v>15</v>
      </c>
      <c r="C15" s="13">
        <v>131</v>
      </c>
      <c r="D15" s="13" t="str">
        <f>IF(C15="","",_xlfn.XLOOKUP(C15,'DAS PCIs (Use for Vlookup) '!$B:$B,'DAS PCIs (Use for Vlookup) '!$E:$E,"MACRO"))</f>
        <v>23, 24, 25, 26</v>
      </c>
      <c r="E15" s="14">
        <v>1.6500000000000001E-2</v>
      </c>
      <c r="F15" s="13" t="s">
        <v>13</v>
      </c>
    </row>
    <row r="16" spans="1:6" x14ac:dyDescent="0.3">
      <c r="A16" s="15" t="s">
        <v>2</v>
      </c>
      <c r="B16" s="15" t="s">
        <v>15</v>
      </c>
      <c r="C16" s="15">
        <v>462</v>
      </c>
      <c r="D16" s="15" t="str">
        <f>IF(C16="","",_xlfn.XLOOKUP(C16,'DAS PCIs (Use for Vlookup) '!$B:$B,'DAS PCIs (Use for Vlookup) '!$E:$E,"MACRO"))</f>
        <v>MACRO</v>
      </c>
      <c r="E16" s="16">
        <v>1.61E-2</v>
      </c>
      <c r="F16" s="15" t="s">
        <v>12</v>
      </c>
    </row>
    <row r="17" spans="1:8" x14ac:dyDescent="0.3">
      <c r="A17" s="15" t="s">
        <v>2</v>
      </c>
      <c r="B17" s="15" t="s">
        <v>15</v>
      </c>
      <c r="C17" s="15">
        <v>453</v>
      </c>
      <c r="D17" s="15" t="str">
        <f>IF(C17="","",_xlfn.XLOOKUP(C17,'DAS PCIs (Use for Vlookup) '!$B:$B,'DAS PCIs (Use for Vlookup) '!$E:$E,"MACRO"))</f>
        <v>MACRO</v>
      </c>
      <c r="E17" s="16">
        <v>1.5599999999999999E-2</v>
      </c>
      <c r="F17" s="15" t="s">
        <v>12</v>
      </c>
    </row>
    <row r="18" spans="1:8" x14ac:dyDescent="0.3">
      <c r="A18" s="13" t="s">
        <v>2</v>
      </c>
      <c r="B18" s="13" t="s">
        <v>15</v>
      </c>
      <c r="C18" s="13">
        <v>129</v>
      </c>
      <c r="D18" s="13" t="str">
        <f>IF(C18="","",_xlfn.XLOOKUP(C18,'DAS PCIs (Use for Vlookup) '!$B:$B,'DAS PCIs (Use for Vlookup) '!$E:$E,"MACRO"))</f>
        <v>13, 14, 15, 16</v>
      </c>
      <c r="E18" s="14">
        <v>1.29E-2</v>
      </c>
      <c r="F18" s="13" t="s">
        <v>13</v>
      </c>
    </row>
    <row r="19" spans="1:8" x14ac:dyDescent="0.3">
      <c r="A19" s="9" t="s">
        <v>2</v>
      </c>
      <c r="B19" s="9" t="s">
        <v>15</v>
      </c>
      <c r="C19" s="9">
        <v>475</v>
      </c>
      <c r="D19" s="9" t="str">
        <f>IF(C19="","",_xlfn.XLOOKUP(C19,'DAS PCIs (Use for Vlookup) '!$B:$B,'DAS PCIs (Use for Vlookup) '!$E:$E,"MACRO"))</f>
        <v>MACRO</v>
      </c>
      <c r="E19" s="10">
        <v>8.5000000000000006E-3</v>
      </c>
      <c r="F19" s="9"/>
    </row>
    <row r="20" spans="1:8" hidden="1" x14ac:dyDescent="0.3">
      <c r="A20" s="9" t="s">
        <v>9</v>
      </c>
      <c r="B20" s="9" t="s">
        <v>15</v>
      </c>
      <c r="C20" s="9">
        <v>206</v>
      </c>
      <c r="D20" s="9" t="str">
        <f>IF(C20="","",_xlfn.XLOOKUP(C20,'DAS PCIs (Use for Vlookup) '!$B:$B,'DAS PCIs (Use for Vlookup) '!$E:$E,"MACRO"))</f>
        <v>5</v>
      </c>
      <c r="E20" s="10">
        <v>6.1000000000000004E-3</v>
      </c>
      <c r="F20" s="9"/>
    </row>
    <row r="21" spans="1:8" x14ac:dyDescent="0.3">
      <c r="A21" s="9" t="s">
        <v>2</v>
      </c>
      <c r="B21" s="9" t="s">
        <v>15</v>
      </c>
      <c r="C21" s="9">
        <v>454</v>
      </c>
      <c r="D21" s="9" t="str">
        <f>IF(C21="","",_xlfn.XLOOKUP(C21,'DAS PCIs (Use for Vlookup) '!$B:$B,'DAS PCIs (Use for Vlookup) '!$E:$E,"MACRO"))</f>
        <v>MACRO</v>
      </c>
      <c r="E21" s="10">
        <v>5.1999999999999998E-3</v>
      </c>
      <c r="F21" s="9"/>
    </row>
    <row r="22" spans="1:8" hidden="1" x14ac:dyDescent="0.3">
      <c r="A22" s="9" t="s">
        <v>9</v>
      </c>
      <c r="B22" s="9" t="s">
        <v>15</v>
      </c>
      <c r="C22" s="9">
        <v>282</v>
      </c>
      <c r="D22" s="9" t="str">
        <f>IF(C22="","",_xlfn.XLOOKUP(C22,'DAS PCIs (Use for Vlookup) '!$B:$B,'DAS PCIs (Use for Vlookup) '!$E:$E,"MACRO"))</f>
        <v>43, 44, 45, 46</v>
      </c>
      <c r="E22" s="10">
        <v>3.7000000000000002E-3</v>
      </c>
      <c r="F22" s="9"/>
    </row>
    <row r="23" spans="1:8" x14ac:dyDescent="0.3">
      <c r="A23" s="9" t="s">
        <v>2</v>
      </c>
      <c r="B23" s="9" t="s">
        <v>15</v>
      </c>
      <c r="C23" s="9">
        <v>192</v>
      </c>
      <c r="D23" s="9" t="str">
        <f>IF(C23="","",_xlfn.XLOOKUP(C23,'DAS PCIs (Use for Vlookup) '!$B:$B,'DAS PCIs (Use for Vlookup) '!$E:$E,"MACRO"))</f>
        <v>27, 28</v>
      </c>
      <c r="E23" s="10">
        <v>3.7000000000000002E-3</v>
      </c>
      <c r="F23" s="9"/>
    </row>
    <row r="24" spans="1:8" hidden="1" x14ac:dyDescent="0.3">
      <c r="A24" s="9" t="s">
        <v>9</v>
      </c>
      <c r="B24" s="9" t="s">
        <v>15</v>
      </c>
      <c r="C24" s="9">
        <v>192</v>
      </c>
      <c r="D24" s="9" t="str">
        <f>IF(C24="","",_xlfn.XLOOKUP(C24,'DAS PCIs (Use for Vlookup) '!$B:$B,'DAS PCIs (Use for Vlookup) '!$E:$E,"MACRO"))</f>
        <v>27, 28</v>
      </c>
      <c r="E24" s="10">
        <v>3.5000000000000001E-3</v>
      </c>
      <c r="F24" s="9"/>
      <c r="H24" t="str">
        <f>IF(G24="","",_xlfn.XLOOKUP(G24,'DAS PCIs (Use for Vlookup) '!$B:$B,'DAS PCIs (Use for Vlookup) '!$E:$E,"MACRO"))</f>
        <v/>
      </c>
    </row>
    <row r="25" spans="1:8" x14ac:dyDescent="0.3">
      <c r="A25" s="9" t="s">
        <v>2</v>
      </c>
      <c r="B25" s="9" t="s">
        <v>15</v>
      </c>
      <c r="C25" s="9">
        <v>206</v>
      </c>
      <c r="D25" s="9" t="str">
        <f>IF(C25="","",_xlfn.XLOOKUP(C25,'DAS PCIs (Use for Vlookup) '!$B:$B,'DAS PCIs (Use for Vlookup) '!$E:$E,"MACRO"))</f>
        <v>5</v>
      </c>
      <c r="E25" s="10">
        <v>3.5000000000000001E-3</v>
      </c>
      <c r="F25" s="9"/>
    </row>
    <row r="26" spans="1:8" x14ac:dyDescent="0.3">
      <c r="A26" s="9" t="s">
        <v>2</v>
      </c>
      <c r="B26" s="9" t="s">
        <v>15</v>
      </c>
      <c r="C26" s="9">
        <v>455</v>
      </c>
      <c r="D26" s="9" t="str">
        <f>IF(C26="","",_xlfn.XLOOKUP(C26,'DAS PCIs (Use for Vlookup) '!$B:$B,'DAS PCIs (Use for Vlookup) '!$E:$E,"MACRO"))</f>
        <v>MACRO</v>
      </c>
      <c r="E26" s="10">
        <v>2E-3</v>
      </c>
      <c r="F26" s="9"/>
    </row>
    <row r="27" spans="1:8" x14ac:dyDescent="0.3">
      <c r="A27" s="9" t="s">
        <v>2</v>
      </c>
      <c r="B27" s="9" t="s">
        <v>15</v>
      </c>
      <c r="C27" s="9">
        <v>456</v>
      </c>
      <c r="D27" s="9" t="str">
        <f>IF(C27="","",_xlfn.XLOOKUP(C27,'DAS PCIs (Use for Vlookup) '!$B:$B,'DAS PCIs (Use for Vlookup) '!$E:$E,"MACRO"))</f>
        <v>MACRO</v>
      </c>
      <c r="E27" s="10">
        <v>2E-3</v>
      </c>
      <c r="F27" s="9"/>
    </row>
    <row r="28" spans="1:8" x14ac:dyDescent="0.3">
      <c r="A28" s="9" t="s">
        <v>2</v>
      </c>
      <c r="B28" s="9" t="s">
        <v>15</v>
      </c>
      <c r="C28" s="9">
        <v>451</v>
      </c>
      <c r="D28" s="9" t="str">
        <f>IF(C28="","",_xlfn.XLOOKUP(C28,'DAS PCIs (Use for Vlookup) '!$B:$B,'DAS PCIs (Use for Vlookup) '!$E:$E,"MACRO"))</f>
        <v>MACRO</v>
      </c>
      <c r="E28" s="10">
        <v>1.8E-3</v>
      </c>
      <c r="F28" s="9"/>
    </row>
    <row r="29" spans="1:8" x14ac:dyDescent="0.3">
      <c r="A29" s="9" t="s">
        <v>2</v>
      </c>
      <c r="B29" s="9" t="s">
        <v>15</v>
      </c>
      <c r="C29" s="9">
        <v>457</v>
      </c>
      <c r="D29" s="9" t="str">
        <f>IF(C29="","",_xlfn.XLOOKUP(C29,'DAS PCIs (Use for Vlookup) '!$B:$B,'DAS PCIs (Use for Vlookup) '!$E:$E,"MACRO"))</f>
        <v>MACRO</v>
      </c>
      <c r="E29" s="10">
        <v>1.8E-3</v>
      </c>
      <c r="F29" s="9"/>
    </row>
    <row r="30" spans="1:8" x14ac:dyDescent="0.3">
      <c r="A30" s="9" t="s">
        <v>2</v>
      </c>
      <c r="B30" s="9" t="s">
        <v>15</v>
      </c>
      <c r="C30" s="9">
        <v>460</v>
      </c>
      <c r="D30" s="9" t="str">
        <f>IF(C30="","",_xlfn.XLOOKUP(C30,'DAS PCIs (Use for Vlookup) '!$B:$B,'DAS PCIs (Use for Vlookup) '!$E:$E,"MACRO"))</f>
        <v>MACRO</v>
      </c>
      <c r="E30" s="10">
        <v>1.6999999999999999E-3</v>
      </c>
      <c r="F30" s="9"/>
    </row>
    <row r="31" spans="1:8" x14ac:dyDescent="0.3">
      <c r="A31" s="9" t="s">
        <v>2</v>
      </c>
      <c r="B31" s="9" t="s">
        <v>15</v>
      </c>
      <c r="C31" s="9">
        <v>459</v>
      </c>
      <c r="D31" s="9" t="str">
        <f>IF(C31="","",_xlfn.XLOOKUP(C31,'DAS PCIs (Use for Vlookup) '!$B:$B,'DAS PCIs (Use for Vlookup) '!$E:$E,"MACRO"))</f>
        <v>MACRO</v>
      </c>
      <c r="E31" s="10">
        <v>1.6999999999999999E-3</v>
      </c>
      <c r="F31" s="9"/>
    </row>
    <row r="32" spans="1:8" x14ac:dyDescent="0.3">
      <c r="A32" s="9" t="s">
        <v>2</v>
      </c>
      <c r="B32" s="9" t="s">
        <v>15</v>
      </c>
      <c r="C32" s="9">
        <v>461</v>
      </c>
      <c r="D32" s="9" t="str">
        <f>IF(C32="","",_xlfn.XLOOKUP(C32,'DAS PCIs (Use for Vlookup) '!$B:$B,'DAS PCIs (Use for Vlookup) '!$E:$E,"MACRO"))</f>
        <v>MACRO</v>
      </c>
      <c r="E32" s="10">
        <v>1.5E-3</v>
      </c>
      <c r="F32" s="9"/>
    </row>
    <row r="33" spans="1:6" x14ac:dyDescent="0.3">
      <c r="A33" s="9" t="s">
        <v>2</v>
      </c>
      <c r="B33" s="9" t="s">
        <v>15</v>
      </c>
      <c r="C33" s="9">
        <v>106</v>
      </c>
      <c r="D33" s="9" t="str">
        <f>IF(C33="","",_xlfn.XLOOKUP(C33,'DAS PCIs (Use for Vlookup) '!$B:$B,'DAS PCIs (Use for Vlookup) '!$E:$E,"MACRO"))</f>
        <v>3</v>
      </c>
      <c r="E33" s="10">
        <v>1.5E-3</v>
      </c>
      <c r="F33" s="9"/>
    </row>
    <row r="34" spans="1:6" hidden="1" x14ac:dyDescent="0.3">
      <c r="A34" s="9" t="s">
        <v>9</v>
      </c>
      <c r="B34" s="9" t="s">
        <v>15</v>
      </c>
      <c r="C34" s="9">
        <v>107</v>
      </c>
      <c r="D34" s="9" t="str">
        <f>IF(C34="","",_xlfn.XLOOKUP(C34,'DAS PCIs (Use for Vlookup) '!$B:$B,'DAS PCIs (Use for Vlookup) '!$E:$E,"MACRO"))</f>
        <v>4</v>
      </c>
      <c r="E34" s="10">
        <v>6.9999999999999999E-4</v>
      </c>
      <c r="F34" s="9"/>
    </row>
    <row r="35" spans="1:6" hidden="1" x14ac:dyDescent="0.3">
      <c r="D35" t="str">
        <f>IF(C35="","",_xlfn.XLOOKUP(C35,'DAS PCIs (Use for Vlookup) '!$B:$B,'DAS PCIs (Use for Vlookup) '!$E:$E,"MACRO"))</f>
        <v/>
      </c>
    </row>
    <row r="36" spans="1:6" hidden="1" x14ac:dyDescent="0.3">
      <c r="D36" t="str">
        <f>IF(C36="","",_xlfn.XLOOKUP(C36,'DAS PCIs (Use for Vlookup) '!$B:$B,'DAS PCIs (Use for Vlookup) '!$E:$E,"MACRO"))</f>
        <v/>
      </c>
    </row>
    <row r="37" spans="1:6" hidden="1" x14ac:dyDescent="0.3">
      <c r="D37" t="str">
        <f>IF(C37="","",_xlfn.XLOOKUP(C37,'DAS PCIs (Use for Vlookup) '!$B:$B,'DAS PCIs (Use for Vlookup) '!$E:$E,"MACRO"))</f>
        <v/>
      </c>
    </row>
    <row r="38" spans="1:6" hidden="1" x14ac:dyDescent="0.3">
      <c r="D38" t="str">
        <f>IF(C38="","",_xlfn.XLOOKUP(C38,'DAS PCIs (Use for Vlookup) '!$B:$B,'DAS PCIs (Use for Vlookup) '!$E:$E,"MACRO"))</f>
        <v/>
      </c>
    </row>
    <row r="39" spans="1:6" hidden="1" x14ac:dyDescent="0.3">
      <c r="D39" t="str">
        <f>IF(C39="","",_xlfn.XLOOKUP(C39,'DAS PCIs (Use for Vlookup) '!$B:$B,'DAS PCIs (Use for Vlookup) '!$E:$E,"MACRO"))</f>
        <v/>
      </c>
    </row>
    <row r="40" spans="1:6" hidden="1" x14ac:dyDescent="0.3">
      <c r="D40" t="str">
        <f>IF(C40="","",_xlfn.XLOOKUP(C40,'DAS PCIs (Use for Vlookup) '!$B:$B,'DAS PCIs (Use for Vlookup) '!$E:$E,"MACRO"))</f>
        <v/>
      </c>
    </row>
  </sheetData>
  <autoFilter ref="A1:F40" xr:uid="{744D80EC-1757-4E83-BE7A-37AEDCB67911}">
    <filterColumn colId="0">
      <filters>
        <filter val="N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03FB-93A4-44EF-920D-3BF36D2A3858}">
  <dimension ref="A1:I40"/>
  <sheetViews>
    <sheetView workbookViewId="0">
      <selection activeCell="K3" sqref="K3"/>
    </sheetView>
  </sheetViews>
  <sheetFormatPr defaultRowHeight="14.4" x14ac:dyDescent="0.3"/>
  <cols>
    <col min="2" max="2" width="10.77734375" bestFit="1" customWidth="1"/>
    <col min="4" max="4" width="17.21875" bestFit="1" customWidth="1"/>
    <col min="5" max="5" width="17.21875" style="8" customWidth="1"/>
    <col min="7" max="7" width="8.88671875" bestFit="1" customWidth="1"/>
    <col min="8" max="8" width="17.21875" bestFit="1" customWidth="1"/>
    <col min="9" max="9" width="9.109375" style="8"/>
  </cols>
  <sheetData>
    <row r="1" spans="1:6" x14ac:dyDescent="0.3">
      <c r="A1" s="9" t="s">
        <v>8</v>
      </c>
      <c r="B1" s="9" t="s">
        <v>14</v>
      </c>
      <c r="C1" s="9" t="s">
        <v>0</v>
      </c>
      <c r="D1" s="9" t="s">
        <v>6</v>
      </c>
      <c r="E1" s="10" t="s">
        <v>7</v>
      </c>
      <c r="F1" s="9" t="s">
        <v>10</v>
      </c>
    </row>
    <row r="2" spans="1:6" x14ac:dyDescent="0.3">
      <c r="A2" s="11" t="s">
        <v>9</v>
      </c>
      <c r="B2" s="11" t="s">
        <v>16</v>
      </c>
      <c r="C2" s="11">
        <v>125</v>
      </c>
      <c r="D2" s="11" t="str">
        <f>IF(C2="","",_xlfn.XLOOKUP(C2,'DAS PCIs (Use for Vlookup) '!$B:$B,'DAS PCIs (Use for Vlookup) '!$E:$E,"MACRO"))</f>
        <v>60, 61, 62</v>
      </c>
      <c r="E2" s="12">
        <v>0.68720000000000003</v>
      </c>
      <c r="F2" s="11" t="s">
        <v>11</v>
      </c>
    </row>
    <row r="3" spans="1:6" x14ac:dyDescent="0.3">
      <c r="A3" s="15" t="s">
        <v>9</v>
      </c>
      <c r="B3" s="15" t="s">
        <v>16</v>
      </c>
      <c r="C3" s="15">
        <v>57</v>
      </c>
      <c r="D3" s="15" t="str">
        <f>IF(C3="","",_xlfn.XLOOKUP(C3,'DAS PCIs (Use for Vlookup) '!$B:$B,'DAS PCIs (Use for Vlookup) '!$E:$E,"MACRO"))</f>
        <v>MACRO</v>
      </c>
      <c r="E3" s="16">
        <v>4.5199999999999997E-2</v>
      </c>
      <c r="F3" s="15" t="s">
        <v>12</v>
      </c>
    </row>
    <row r="4" spans="1:6" x14ac:dyDescent="0.3">
      <c r="A4" s="13" t="s">
        <v>9</v>
      </c>
      <c r="B4" s="13" t="s">
        <v>16</v>
      </c>
      <c r="C4" s="13">
        <v>44</v>
      </c>
      <c r="D4" s="13" t="str">
        <f>IF(C4="","",_xlfn.XLOOKUP(C4,'DAS PCIs (Use for Vlookup) '!$B:$B,'DAS PCIs (Use for Vlookup) '!$E:$E,"MACRO"))</f>
        <v>63, 64</v>
      </c>
      <c r="E4" s="14">
        <v>0.11310000000000001</v>
      </c>
      <c r="F4" s="13" t="s">
        <v>13</v>
      </c>
    </row>
    <row r="5" spans="1:6" x14ac:dyDescent="0.3">
      <c r="A5" s="15" t="s">
        <v>9</v>
      </c>
      <c r="B5" s="15" t="s">
        <v>16</v>
      </c>
      <c r="C5" s="15">
        <v>438</v>
      </c>
      <c r="D5" s="15" t="str">
        <f>IF(C5="","",_xlfn.XLOOKUP(C5,'DAS PCIs (Use for Vlookup) '!$B:$B,'DAS PCIs (Use for Vlookup) '!$E:$E,"MACRO"))</f>
        <v>MACRO</v>
      </c>
      <c r="E5" s="16">
        <v>3.6400000000000002E-2</v>
      </c>
      <c r="F5" s="15" t="s">
        <v>12</v>
      </c>
    </row>
    <row r="6" spans="1:6" x14ac:dyDescent="0.3">
      <c r="A6" s="13" t="s">
        <v>9</v>
      </c>
      <c r="B6" s="13" t="s">
        <v>16</v>
      </c>
      <c r="C6" s="13">
        <v>151</v>
      </c>
      <c r="D6" s="13" t="str">
        <f>IF(C6="","",_xlfn.XLOOKUP(C6,'DAS PCIs (Use for Vlookup) '!$B:$B,'DAS PCIs (Use for Vlookup) '!$E:$E,"MACRO"))</f>
        <v>47, 48, 49</v>
      </c>
      <c r="E6" s="14">
        <v>0.1181</v>
      </c>
      <c r="F6" s="13" t="s">
        <v>13</v>
      </c>
    </row>
    <row r="7" spans="1:6" x14ac:dyDescent="0.3">
      <c r="A7" s="11" t="s">
        <v>2</v>
      </c>
      <c r="B7" s="11" t="s">
        <v>16</v>
      </c>
      <c r="C7" s="11">
        <v>125</v>
      </c>
      <c r="D7" s="11" t="str">
        <f>IF(C7="","",_xlfn.XLOOKUP(C7,'DAS PCIs (Use for Vlookup) '!$B:$B,'DAS PCIs (Use for Vlookup) '!$E:$E,"MACRO"))</f>
        <v>60, 61, 62</v>
      </c>
      <c r="E7" s="12">
        <v>0.70689999999999997</v>
      </c>
      <c r="F7" s="11" t="s">
        <v>11</v>
      </c>
    </row>
    <row r="8" spans="1:6" x14ac:dyDescent="0.3">
      <c r="A8" s="15" t="s">
        <v>2</v>
      </c>
      <c r="B8" s="15" t="s">
        <v>16</v>
      </c>
      <c r="C8" s="15">
        <v>57</v>
      </c>
      <c r="D8" s="15" t="str">
        <f>IF(C8="","",_xlfn.XLOOKUP(C8,'DAS PCIs (Use for Vlookup) '!$B:$B,'DAS PCIs (Use for Vlookup) '!$E:$E,"MACRO"))</f>
        <v>MACRO</v>
      </c>
      <c r="E8" s="16">
        <v>2.3300000000000001E-2</v>
      </c>
      <c r="F8" s="15" t="s">
        <v>12</v>
      </c>
    </row>
    <row r="9" spans="1:6" x14ac:dyDescent="0.3">
      <c r="A9" s="15" t="s">
        <v>2</v>
      </c>
      <c r="B9" s="15" t="s">
        <v>16</v>
      </c>
      <c r="C9" s="15">
        <v>593</v>
      </c>
      <c r="D9" s="15" t="str">
        <f>IF(C9="","",_xlfn.XLOOKUP(C9,'DAS PCIs (Use for Vlookup) '!$B:$B,'DAS PCIs (Use for Vlookup) '!$E:$E,"MACRO"))</f>
        <v>MACRO</v>
      </c>
      <c r="E9" s="16">
        <v>0.1167</v>
      </c>
      <c r="F9" s="15" t="s">
        <v>12</v>
      </c>
    </row>
    <row r="10" spans="1:6" x14ac:dyDescent="0.3">
      <c r="A10" s="15" t="s">
        <v>2</v>
      </c>
      <c r="B10" s="15" t="s">
        <v>16</v>
      </c>
      <c r="C10" s="15">
        <v>761</v>
      </c>
      <c r="D10" s="15" t="str">
        <f>IF(C10="","",_xlfn.XLOOKUP(C10,'DAS PCIs (Use for Vlookup) '!$B:$B,'DAS PCIs (Use for Vlookup) '!$E:$E,"MACRO"))</f>
        <v>MACRO</v>
      </c>
      <c r="E10" s="16">
        <v>3.3700000000000001E-2</v>
      </c>
      <c r="F10" s="15" t="s">
        <v>12</v>
      </c>
    </row>
    <row r="11" spans="1:6" x14ac:dyDescent="0.3">
      <c r="A11" s="15" t="s">
        <v>2</v>
      </c>
      <c r="B11" s="15" t="s">
        <v>16</v>
      </c>
      <c r="C11" s="15">
        <v>831</v>
      </c>
      <c r="D11" s="15" t="str">
        <f>IF(C11="","",_xlfn.XLOOKUP(C11,'DAS PCIs (Use for Vlookup) '!$B:$B,'DAS PCIs (Use for Vlookup) '!$E:$E,"MACRO"))</f>
        <v>MACRO</v>
      </c>
      <c r="E11" s="16">
        <v>6.6100000000000006E-2</v>
      </c>
      <c r="F11" s="15" t="s">
        <v>12</v>
      </c>
    </row>
    <row r="12" spans="1:6" x14ac:dyDescent="0.3">
      <c r="A12" s="15" t="s">
        <v>2</v>
      </c>
      <c r="B12" s="15" t="s">
        <v>16</v>
      </c>
      <c r="C12" s="15">
        <v>832</v>
      </c>
      <c r="D12" s="15" t="str">
        <f>IF(C12="","",_xlfn.XLOOKUP(C12,'DAS PCIs (Use for Vlookup) '!$B:$B,'DAS PCIs (Use for Vlookup) '!$E:$E,"MACRO"))</f>
        <v>MACRO</v>
      </c>
      <c r="E12" s="16">
        <v>4.8000000000000001E-2</v>
      </c>
      <c r="F12" s="15" t="s">
        <v>12</v>
      </c>
    </row>
    <row r="13" spans="1:6" x14ac:dyDescent="0.3">
      <c r="A13" s="9" t="s">
        <v>2</v>
      </c>
      <c r="B13" s="9" t="s">
        <v>16</v>
      </c>
      <c r="C13" s="9">
        <v>759</v>
      </c>
      <c r="D13" s="9" t="str">
        <f>IF(C13="","",_xlfn.XLOOKUP(C13,'DAS PCIs (Use for Vlookup) '!$B:$B,'DAS PCIs (Use for Vlookup) '!$E:$E,"MACRO"))</f>
        <v>MACRO</v>
      </c>
      <c r="E13" s="10">
        <v>5.1999999999999998E-3</v>
      </c>
      <c r="F13" s="9"/>
    </row>
    <row r="14" spans="1:6" x14ac:dyDescent="0.3">
      <c r="A14" s="9"/>
      <c r="B14" s="9"/>
      <c r="C14" s="9"/>
      <c r="D14" s="9" t="str">
        <f>IF(C14="","",_xlfn.XLOOKUP(C14,'DAS PCIs (Use for Vlookup) '!$B:$B,'DAS PCIs (Use for Vlookup) '!$E:$E,"MACRO"))</f>
        <v/>
      </c>
      <c r="E14" s="10"/>
      <c r="F14" s="9"/>
    </row>
    <row r="15" spans="1:6" x14ac:dyDescent="0.3">
      <c r="A15" s="9"/>
      <c r="B15" s="9"/>
      <c r="C15" s="9"/>
      <c r="D15" s="9" t="str">
        <f>IF(C15="","",_xlfn.XLOOKUP(C15,'DAS PCIs (Use for Vlookup) '!$B:$B,'DAS PCIs (Use for Vlookup) '!$E:$E,"MACRO"))</f>
        <v/>
      </c>
      <c r="E15" s="10"/>
      <c r="F15" s="9"/>
    </row>
    <row r="16" spans="1:6" x14ac:dyDescent="0.3">
      <c r="A16" s="9"/>
      <c r="B16" s="9"/>
      <c r="C16" s="9"/>
      <c r="D16" s="9" t="str">
        <f>IF(C16="","",_xlfn.XLOOKUP(C16,'DAS PCIs (Use for Vlookup) '!$B:$B,'DAS PCIs (Use for Vlookup) '!$E:$E,"MACRO"))</f>
        <v/>
      </c>
      <c r="E16" s="10"/>
      <c r="F16" s="9"/>
    </row>
    <row r="17" spans="1:8" x14ac:dyDescent="0.3">
      <c r="A17" s="9"/>
      <c r="B17" s="9"/>
      <c r="C17" s="9"/>
      <c r="D17" s="9" t="str">
        <f>IF(C17="","",_xlfn.XLOOKUP(C17,'DAS PCIs (Use for Vlookup) '!$B:$B,'DAS PCIs (Use for Vlookup) '!$E:$E,"MACRO"))</f>
        <v/>
      </c>
      <c r="E17" s="10"/>
      <c r="F17" s="9"/>
    </row>
    <row r="18" spans="1:8" x14ac:dyDescent="0.3">
      <c r="A18" s="9"/>
      <c r="B18" s="9"/>
      <c r="C18" s="9"/>
      <c r="D18" s="9" t="str">
        <f>IF(C18="","",_xlfn.XLOOKUP(C18,'DAS PCIs (Use for Vlookup) '!$B:$B,'DAS PCIs (Use for Vlookup) '!$E:$E,"MACRO"))</f>
        <v/>
      </c>
      <c r="E18" s="10"/>
      <c r="F18" s="9"/>
    </row>
    <row r="19" spans="1:8" x14ac:dyDescent="0.3">
      <c r="A19" s="9"/>
      <c r="B19" s="9"/>
      <c r="C19" s="9"/>
      <c r="D19" s="9" t="str">
        <f>IF(C19="","",_xlfn.XLOOKUP(C19,'DAS PCIs (Use for Vlookup) '!$B:$B,'DAS PCIs (Use for Vlookup) '!$E:$E,"MACRO"))</f>
        <v/>
      </c>
      <c r="E19" s="10"/>
      <c r="F19" s="9"/>
    </row>
    <row r="20" spans="1:8" x14ac:dyDescent="0.3">
      <c r="A20" s="9"/>
      <c r="B20" s="9"/>
      <c r="C20" s="9"/>
      <c r="D20" s="9" t="str">
        <f>IF(C20="","",_xlfn.XLOOKUP(C20,'DAS PCIs (Use for Vlookup) '!$B:$B,'DAS PCIs (Use for Vlookup) '!$E:$E,"MACRO"))</f>
        <v/>
      </c>
      <c r="E20" s="10"/>
      <c r="F20" s="9"/>
    </row>
    <row r="21" spans="1:8" x14ac:dyDescent="0.3">
      <c r="A21" s="9"/>
      <c r="B21" s="9"/>
      <c r="C21" s="9"/>
      <c r="D21" s="9" t="str">
        <f>IF(C21="","",_xlfn.XLOOKUP(C21,'DAS PCIs (Use for Vlookup) '!$B:$B,'DAS PCIs (Use for Vlookup) '!$E:$E,"MACRO"))</f>
        <v/>
      </c>
      <c r="E21" s="10"/>
      <c r="F21" s="9"/>
    </row>
    <row r="22" spans="1:8" x14ac:dyDescent="0.3">
      <c r="A22" s="9"/>
      <c r="B22" s="9"/>
      <c r="C22" s="9"/>
      <c r="D22" s="9" t="str">
        <f>IF(C22="","",_xlfn.XLOOKUP(C22,'DAS PCIs (Use for Vlookup) '!$B:$B,'DAS PCIs (Use for Vlookup) '!$E:$E,"MACRO"))</f>
        <v/>
      </c>
      <c r="E22" s="10"/>
      <c r="F22" s="9"/>
    </row>
    <row r="23" spans="1:8" x14ac:dyDescent="0.3">
      <c r="A23" s="9"/>
      <c r="B23" s="9"/>
      <c r="C23" s="9"/>
      <c r="D23" s="9" t="str">
        <f>IF(C23="","",_xlfn.XLOOKUP(C23,'DAS PCIs (Use for Vlookup) '!$B:$B,'DAS PCIs (Use for Vlookup) '!$E:$E,"MACRO"))</f>
        <v/>
      </c>
      <c r="E23" s="10"/>
      <c r="F23" s="9"/>
    </row>
    <row r="24" spans="1:8" x14ac:dyDescent="0.3">
      <c r="A24" s="9"/>
      <c r="B24" s="9"/>
      <c r="C24" s="9"/>
      <c r="D24" s="9" t="str">
        <f>IF(C24="","",_xlfn.XLOOKUP(C24,'DAS PCIs (Use for Vlookup) '!$B:$B,'DAS PCIs (Use for Vlookup) '!$E:$E,"MACRO"))</f>
        <v/>
      </c>
      <c r="E24" s="10"/>
      <c r="F24" s="9"/>
      <c r="H24" t="str">
        <f>IF(G24="","",_xlfn.XLOOKUP(G24,'DAS PCIs (Use for Vlookup) '!$B:$B,'DAS PCIs (Use for Vlookup) '!$E:$E,"MACRO"))</f>
        <v/>
      </c>
    </row>
    <row r="25" spans="1:8" x14ac:dyDescent="0.3">
      <c r="A25" s="9"/>
      <c r="B25" s="9"/>
      <c r="C25" s="9"/>
      <c r="D25" s="9" t="str">
        <f>IF(C25="","",_xlfn.XLOOKUP(C25,'DAS PCIs (Use for Vlookup) '!$B:$B,'DAS PCIs (Use for Vlookup) '!$E:$E,"MACRO"))</f>
        <v/>
      </c>
      <c r="E25" s="10"/>
      <c r="F25" s="9"/>
    </row>
    <row r="26" spans="1:8" x14ac:dyDescent="0.3">
      <c r="A26" s="9"/>
      <c r="B26" s="9"/>
      <c r="C26" s="9"/>
      <c r="D26" s="9" t="str">
        <f>IF(C26="","",_xlfn.XLOOKUP(C26,'DAS PCIs (Use for Vlookup) '!$B:$B,'DAS PCIs (Use for Vlookup) '!$E:$E,"MACRO"))</f>
        <v/>
      </c>
      <c r="E26" s="10"/>
      <c r="F26" s="9"/>
    </row>
    <row r="27" spans="1:8" x14ac:dyDescent="0.3">
      <c r="A27" s="9"/>
      <c r="B27" s="9"/>
      <c r="C27" s="9"/>
      <c r="D27" s="9" t="str">
        <f>IF(C27="","",_xlfn.XLOOKUP(C27,'DAS PCIs (Use for Vlookup) '!$B:$B,'DAS PCIs (Use for Vlookup) '!$E:$E,"MACRO"))</f>
        <v/>
      </c>
      <c r="E27" s="10"/>
      <c r="F27" s="9"/>
    </row>
    <row r="28" spans="1:8" x14ac:dyDescent="0.3">
      <c r="A28" s="9"/>
      <c r="B28" s="9"/>
      <c r="C28" s="9"/>
      <c r="D28" s="9" t="str">
        <f>IF(C28="","",_xlfn.XLOOKUP(C28,'DAS PCIs (Use for Vlookup) '!$B:$B,'DAS PCIs (Use for Vlookup) '!$E:$E,"MACRO"))</f>
        <v/>
      </c>
      <c r="E28" s="10"/>
      <c r="F28" s="9"/>
    </row>
    <row r="29" spans="1:8" x14ac:dyDescent="0.3">
      <c r="A29" s="9"/>
      <c r="B29" s="9"/>
      <c r="C29" s="9"/>
      <c r="D29" s="9" t="str">
        <f>IF(C29="","",_xlfn.XLOOKUP(C29,'DAS PCIs (Use for Vlookup) '!$B:$B,'DAS PCIs (Use for Vlookup) '!$E:$E,"MACRO"))</f>
        <v/>
      </c>
      <c r="E29" s="10"/>
      <c r="F29" s="9"/>
    </row>
    <row r="30" spans="1:8" x14ac:dyDescent="0.3">
      <c r="A30" s="9"/>
      <c r="B30" s="9"/>
      <c r="C30" s="9"/>
      <c r="D30" s="9" t="str">
        <f>IF(C30="","",_xlfn.XLOOKUP(C30,'DAS PCIs (Use for Vlookup) '!$B:$B,'DAS PCIs (Use for Vlookup) '!$E:$E,"MACRO"))</f>
        <v/>
      </c>
      <c r="E30" s="10"/>
      <c r="F30" s="9"/>
    </row>
    <row r="31" spans="1:8" x14ac:dyDescent="0.3">
      <c r="A31" s="9"/>
      <c r="B31" s="9"/>
      <c r="C31" s="9"/>
      <c r="D31" s="9" t="str">
        <f>IF(C31="","",_xlfn.XLOOKUP(C31,'DAS PCIs (Use for Vlookup) '!$B:$B,'DAS PCIs (Use for Vlookup) '!$E:$E,"MACRO"))</f>
        <v/>
      </c>
      <c r="E31" s="10"/>
      <c r="F31" s="9"/>
    </row>
    <row r="32" spans="1:8" x14ac:dyDescent="0.3">
      <c r="A32" s="9"/>
      <c r="B32" s="9"/>
      <c r="C32" s="9"/>
      <c r="D32" s="9" t="str">
        <f>IF(C32="","",_xlfn.XLOOKUP(C32,'DAS PCIs (Use for Vlookup) '!$B:$B,'DAS PCIs (Use for Vlookup) '!$E:$E,"MACRO"))</f>
        <v/>
      </c>
      <c r="E32" s="10"/>
      <c r="F32" s="9"/>
    </row>
    <row r="33" spans="1:6" x14ac:dyDescent="0.3">
      <c r="A33" s="9"/>
      <c r="B33" s="9"/>
      <c r="C33" s="9"/>
      <c r="D33" s="9" t="str">
        <f>IF(C33="","",_xlfn.XLOOKUP(C33,'DAS PCIs (Use for Vlookup) '!$B:$B,'DAS PCIs (Use for Vlookup) '!$E:$E,"MACRO"))</f>
        <v/>
      </c>
      <c r="E33" s="10"/>
      <c r="F33" s="9"/>
    </row>
    <row r="34" spans="1:6" x14ac:dyDescent="0.3">
      <c r="A34" s="9"/>
      <c r="B34" s="9"/>
      <c r="C34" s="9"/>
      <c r="D34" s="9" t="str">
        <f>IF(C34="","",_xlfn.XLOOKUP(C34,'DAS PCIs (Use for Vlookup) '!$B:$B,'DAS PCIs (Use for Vlookup) '!$E:$E,"MACRO"))</f>
        <v/>
      </c>
      <c r="E34" s="10"/>
      <c r="F34" s="9"/>
    </row>
    <row r="35" spans="1:6" x14ac:dyDescent="0.3">
      <c r="D35" t="str">
        <f>IF(C35="","",_xlfn.XLOOKUP(C35,'DAS PCIs (Use for Vlookup) '!$B:$B,'DAS PCIs (Use for Vlookup) '!$E:$E,"MACRO"))</f>
        <v/>
      </c>
    </row>
    <row r="36" spans="1:6" x14ac:dyDescent="0.3">
      <c r="D36" t="str">
        <f>IF(C36="","",_xlfn.XLOOKUP(C36,'DAS PCIs (Use for Vlookup) '!$B:$B,'DAS PCIs (Use for Vlookup) '!$E:$E,"MACRO"))</f>
        <v/>
      </c>
    </row>
    <row r="37" spans="1:6" x14ac:dyDescent="0.3">
      <c r="D37" t="str">
        <f>IF(C37="","",_xlfn.XLOOKUP(C37,'DAS PCIs (Use for Vlookup) '!$B:$B,'DAS PCIs (Use for Vlookup) '!$E:$E,"MACRO"))</f>
        <v/>
      </c>
    </row>
    <row r="38" spans="1:6" x14ac:dyDescent="0.3">
      <c r="D38" t="str">
        <f>IF(C38="","",_xlfn.XLOOKUP(C38,'DAS PCIs (Use for Vlookup) '!$B:$B,'DAS PCIs (Use for Vlookup) '!$E:$E,"MACRO"))</f>
        <v/>
      </c>
    </row>
    <row r="39" spans="1:6" x14ac:dyDescent="0.3">
      <c r="D39" t="str">
        <f>IF(C39="","",_xlfn.XLOOKUP(C39,'DAS PCIs (Use for Vlookup) '!$B:$B,'DAS PCIs (Use for Vlookup) '!$E:$E,"MACRO"))</f>
        <v/>
      </c>
    </row>
    <row r="40" spans="1:6" x14ac:dyDescent="0.3">
      <c r="D40" t="str">
        <f>IF(C40="","",_xlfn.XLOOKUP(C40,'DAS PCIs (Use for Vlookup) '!$B:$B,'DAS PCIs (Use for Vlookup) '!$E:$E,"MACRO"))</f>
        <v/>
      </c>
    </row>
  </sheetData>
  <autoFilter ref="A1:F34" xr:uid="{744D80EC-1757-4E83-BE7A-37AEDCB6791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486FA-81DF-409E-882A-BB2437675267}">
  <dimension ref="A1:I40"/>
  <sheetViews>
    <sheetView workbookViewId="0">
      <selection activeCell="A2" sqref="A2:F12"/>
    </sheetView>
  </sheetViews>
  <sheetFormatPr defaultRowHeight="14.4" x14ac:dyDescent="0.3"/>
  <cols>
    <col min="2" max="2" width="13.44140625" bestFit="1" customWidth="1"/>
    <col min="4" max="4" width="17.21875" bestFit="1" customWidth="1"/>
    <col min="5" max="5" width="17.21875" style="8" customWidth="1"/>
    <col min="7" max="7" width="8.88671875" bestFit="1" customWidth="1"/>
    <col min="8" max="8" width="17.21875" bestFit="1" customWidth="1"/>
    <col min="9" max="9" width="9.109375" style="8"/>
  </cols>
  <sheetData>
    <row r="1" spans="1:6" x14ac:dyDescent="0.3">
      <c r="A1" s="9" t="s">
        <v>8</v>
      </c>
      <c r="B1" s="9" t="s">
        <v>14</v>
      </c>
      <c r="C1" s="9" t="s">
        <v>0</v>
      </c>
      <c r="D1" s="9" t="s">
        <v>6</v>
      </c>
      <c r="E1" s="10" t="s">
        <v>7</v>
      </c>
      <c r="F1" s="9" t="s">
        <v>10</v>
      </c>
    </row>
    <row r="2" spans="1:6" x14ac:dyDescent="0.3">
      <c r="A2" s="9"/>
      <c r="B2" s="9"/>
      <c r="C2" s="9"/>
      <c r="D2" s="9"/>
      <c r="E2" s="10"/>
      <c r="F2" s="9"/>
    </row>
    <row r="3" spans="1:6" x14ac:dyDescent="0.3">
      <c r="A3" s="9"/>
      <c r="B3" s="9"/>
      <c r="C3" s="9"/>
      <c r="D3" s="9"/>
      <c r="E3" s="10"/>
      <c r="F3" s="9"/>
    </row>
    <row r="4" spans="1:6" x14ac:dyDescent="0.3">
      <c r="A4" s="9"/>
      <c r="B4" s="9"/>
      <c r="C4" s="9"/>
      <c r="D4" s="9"/>
      <c r="E4" s="10"/>
      <c r="F4" s="9"/>
    </row>
    <row r="5" spans="1:6" x14ac:dyDescent="0.3">
      <c r="A5" s="9"/>
      <c r="B5" s="9"/>
      <c r="C5" s="9"/>
      <c r="D5" s="9"/>
      <c r="E5" s="10"/>
      <c r="F5" s="9"/>
    </row>
    <row r="6" spans="1:6" x14ac:dyDescent="0.3">
      <c r="A6" s="9"/>
      <c r="B6" s="9"/>
      <c r="C6" s="9"/>
      <c r="D6" s="9"/>
      <c r="E6" s="10"/>
      <c r="F6" s="9"/>
    </row>
    <row r="7" spans="1:6" x14ac:dyDescent="0.3">
      <c r="A7" s="9"/>
      <c r="B7" s="9"/>
      <c r="C7" s="9"/>
      <c r="D7" s="9"/>
      <c r="E7" s="10"/>
      <c r="F7" s="9"/>
    </row>
    <row r="8" spans="1:6" x14ac:dyDescent="0.3">
      <c r="A8" s="9"/>
      <c r="B8" s="9"/>
      <c r="C8" s="9"/>
      <c r="D8" s="9"/>
      <c r="E8" s="10"/>
      <c r="F8" s="9"/>
    </row>
    <row r="9" spans="1:6" x14ac:dyDescent="0.3">
      <c r="A9" s="9"/>
      <c r="B9" s="9"/>
      <c r="C9" s="9"/>
      <c r="D9" s="9"/>
      <c r="E9" s="10"/>
      <c r="F9" s="9"/>
    </row>
    <row r="10" spans="1:6" x14ac:dyDescent="0.3">
      <c r="A10" s="9"/>
      <c r="B10" s="9"/>
      <c r="C10" s="9"/>
      <c r="D10" s="9"/>
      <c r="E10" s="10"/>
      <c r="F10" s="9"/>
    </row>
    <row r="11" spans="1:6" x14ac:dyDescent="0.3">
      <c r="A11" s="9"/>
      <c r="B11" s="9"/>
      <c r="C11" s="9"/>
      <c r="D11" s="9"/>
      <c r="E11" s="10"/>
      <c r="F11" s="9"/>
    </row>
    <row r="12" spans="1:6" x14ac:dyDescent="0.3">
      <c r="A12" s="9"/>
      <c r="B12" s="9"/>
      <c r="C12" s="9"/>
      <c r="D12" s="9"/>
      <c r="E12" s="10"/>
      <c r="F12" s="9"/>
    </row>
    <row r="13" spans="1:6" x14ac:dyDescent="0.3">
      <c r="A13" s="9"/>
      <c r="B13" s="9"/>
      <c r="C13" s="9"/>
      <c r="D13" s="9" t="str">
        <f>IF(C13="","",_xlfn.XLOOKUP(C13,'DAS PCIs (Use for Vlookup) '!$B:$B,'DAS PCIs (Use for Vlookup) '!$E:$E,"MACRO"))</f>
        <v/>
      </c>
      <c r="E13" s="10"/>
      <c r="F13" s="9"/>
    </row>
    <row r="14" spans="1:6" x14ac:dyDescent="0.3">
      <c r="A14" s="9"/>
      <c r="B14" s="9"/>
      <c r="C14" s="9"/>
      <c r="D14" s="9" t="str">
        <f>IF(C14="","",_xlfn.XLOOKUP(C14,'DAS PCIs (Use for Vlookup) '!$B:$B,'DAS PCIs (Use for Vlookup) '!$E:$E,"MACRO"))</f>
        <v/>
      </c>
      <c r="E14" s="10"/>
      <c r="F14" s="9"/>
    </row>
    <row r="15" spans="1:6" x14ac:dyDescent="0.3">
      <c r="A15" s="9"/>
      <c r="B15" s="9"/>
      <c r="C15" s="9"/>
      <c r="D15" s="9" t="str">
        <f>IF(C15="","",_xlfn.XLOOKUP(C15,'DAS PCIs (Use for Vlookup) '!$B:$B,'DAS PCIs (Use for Vlookup) '!$E:$E,"MACRO"))</f>
        <v/>
      </c>
      <c r="E15" s="10"/>
      <c r="F15" s="9"/>
    </row>
    <row r="16" spans="1:6" x14ac:dyDescent="0.3">
      <c r="A16" s="9"/>
      <c r="B16" s="9"/>
      <c r="C16" s="9"/>
      <c r="D16" s="9" t="str">
        <f>IF(C16="","",_xlfn.XLOOKUP(C16,'DAS PCIs (Use for Vlookup) '!$B:$B,'DAS PCIs (Use for Vlookup) '!$E:$E,"MACRO"))</f>
        <v/>
      </c>
      <c r="E16" s="10"/>
      <c r="F16" s="9"/>
    </row>
    <row r="17" spans="1:8" x14ac:dyDescent="0.3">
      <c r="A17" s="9"/>
      <c r="B17" s="9"/>
      <c r="C17" s="9"/>
      <c r="D17" s="9" t="str">
        <f>IF(C17="","",_xlfn.XLOOKUP(C17,'DAS PCIs (Use for Vlookup) '!$B:$B,'DAS PCIs (Use for Vlookup) '!$E:$E,"MACRO"))</f>
        <v/>
      </c>
      <c r="E17" s="10"/>
      <c r="F17" s="9"/>
    </row>
    <row r="18" spans="1:8" x14ac:dyDescent="0.3">
      <c r="A18" s="9"/>
      <c r="B18" s="9"/>
      <c r="C18" s="9"/>
      <c r="D18" s="9" t="str">
        <f>IF(C18="","",_xlfn.XLOOKUP(C18,'DAS PCIs (Use for Vlookup) '!$B:$B,'DAS PCIs (Use for Vlookup) '!$E:$E,"MACRO"))</f>
        <v/>
      </c>
      <c r="E18" s="10"/>
      <c r="F18" s="9"/>
    </row>
    <row r="19" spans="1:8" x14ac:dyDescent="0.3">
      <c r="A19" s="9"/>
      <c r="B19" s="9"/>
      <c r="C19" s="9"/>
      <c r="D19" s="9" t="str">
        <f>IF(C19="","",_xlfn.XLOOKUP(C19,'DAS PCIs (Use for Vlookup) '!$B:$B,'DAS PCIs (Use for Vlookup) '!$E:$E,"MACRO"))</f>
        <v/>
      </c>
      <c r="E19" s="10"/>
      <c r="F19" s="9"/>
    </row>
    <row r="20" spans="1:8" x14ac:dyDescent="0.3">
      <c r="A20" s="9"/>
      <c r="B20" s="9"/>
      <c r="C20" s="9"/>
      <c r="D20" s="9" t="str">
        <f>IF(C20="","",_xlfn.XLOOKUP(C20,'DAS PCIs (Use for Vlookup) '!$B:$B,'DAS PCIs (Use for Vlookup) '!$E:$E,"MACRO"))</f>
        <v/>
      </c>
      <c r="E20" s="10"/>
      <c r="F20" s="9"/>
    </row>
    <row r="21" spans="1:8" x14ac:dyDescent="0.3">
      <c r="A21" s="9"/>
      <c r="B21" s="9"/>
      <c r="C21" s="9"/>
      <c r="D21" s="9" t="str">
        <f>IF(C21="","",_xlfn.XLOOKUP(C21,'DAS PCIs (Use for Vlookup) '!$B:$B,'DAS PCIs (Use for Vlookup) '!$E:$E,"MACRO"))</f>
        <v/>
      </c>
      <c r="E21" s="10"/>
      <c r="F21" s="9"/>
    </row>
    <row r="22" spans="1:8" x14ac:dyDescent="0.3">
      <c r="A22" s="9"/>
      <c r="B22" s="9"/>
      <c r="C22" s="9"/>
      <c r="D22" s="9" t="str">
        <f>IF(C22="","",_xlfn.XLOOKUP(C22,'DAS PCIs (Use for Vlookup) '!$B:$B,'DAS PCIs (Use for Vlookup) '!$E:$E,"MACRO"))</f>
        <v/>
      </c>
      <c r="E22" s="10"/>
      <c r="F22" s="9"/>
    </row>
    <row r="23" spans="1:8" x14ac:dyDescent="0.3">
      <c r="A23" s="9"/>
      <c r="B23" s="9"/>
      <c r="C23" s="9"/>
      <c r="D23" s="9" t="str">
        <f>IF(C23="","",_xlfn.XLOOKUP(C23,'DAS PCIs (Use for Vlookup) '!$B:$B,'DAS PCIs (Use for Vlookup) '!$E:$E,"MACRO"))</f>
        <v/>
      </c>
      <c r="E23" s="10"/>
      <c r="F23" s="9"/>
    </row>
    <row r="24" spans="1:8" x14ac:dyDescent="0.3">
      <c r="A24" s="9"/>
      <c r="B24" s="9"/>
      <c r="C24" s="9"/>
      <c r="D24" s="9" t="str">
        <f>IF(C24="","",_xlfn.XLOOKUP(C24,'DAS PCIs (Use for Vlookup) '!$B:$B,'DAS PCIs (Use for Vlookup) '!$E:$E,"MACRO"))</f>
        <v/>
      </c>
      <c r="E24" s="10"/>
      <c r="F24" s="9"/>
      <c r="H24" t="str">
        <f>IF(G24="","",_xlfn.XLOOKUP(G24,'DAS PCIs (Use for Vlookup) '!$B:$B,'DAS PCIs (Use for Vlookup) '!$E:$E,"MACRO"))</f>
        <v/>
      </c>
    </row>
    <row r="25" spans="1:8" x14ac:dyDescent="0.3">
      <c r="A25" s="9"/>
      <c r="B25" s="9"/>
      <c r="C25" s="9"/>
      <c r="D25" s="9" t="str">
        <f>IF(C25="","",_xlfn.XLOOKUP(C25,'DAS PCIs (Use for Vlookup) '!$B:$B,'DAS PCIs (Use for Vlookup) '!$E:$E,"MACRO"))</f>
        <v/>
      </c>
      <c r="E25" s="10"/>
      <c r="F25" s="9"/>
    </row>
    <row r="26" spans="1:8" x14ac:dyDescent="0.3">
      <c r="A26" s="9"/>
      <c r="B26" s="9"/>
      <c r="C26" s="9"/>
      <c r="D26" s="9" t="str">
        <f>IF(C26="","",_xlfn.XLOOKUP(C26,'DAS PCIs (Use for Vlookup) '!$B:$B,'DAS PCIs (Use for Vlookup) '!$E:$E,"MACRO"))</f>
        <v/>
      </c>
      <c r="E26" s="10"/>
      <c r="F26" s="9"/>
    </row>
    <row r="27" spans="1:8" x14ac:dyDescent="0.3">
      <c r="A27" s="9"/>
      <c r="B27" s="9"/>
      <c r="C27" s="9"/>
      <c r="D27" s="9" t="str">
        <f>IF(C27="","",_xlfn.XLOOKUP(C27,'DAS PCIs (Use for Vlookup) '!$B:$B,'DAS PCIs (Use for Vlookup) '!$E:$E,"MACRO"))</f>
        <v/>
      </c>
      <c r="E27" s="10"/>
      <c r="F27" s="9"/>
    </row>
    <row r="28" spans="1:8" x14ac:dyDescent="0.3">
      <c r="A28" s="9"/>
      <c r="B28" s="9"/>
      <c r="C28" s="9"/>
      <c r="D28" s="9" t="str">
        <f>IF(C28="","",_xlfn.XLOOKUP(C28,'DAS PCIs (Use for Vlookup) '!$B:$B,'DAS PCIs (Use for Vlookup) '!$E:$E,"MACRO"))</f>
        <v/>
      </c>
      <c r="E28" s="10"/>
      <c r="F28" s="9"/>
    </row>
    <row r="29" spans="1:8" x14ac:dyDescent="0.3">
      <c r="A29" s="9"/>
      <c r="B29" s="9"/>
      <c r="C29" s="9"/>
      <c r="D29" s="9" t="str">
        <f>IF(C29="","",_xlfn.XLOOKUP(C29,'DAS PCIs (Use for Vlookup) '!$B:$B,'DAS PCIs (Use for Vlookup) '!$E:$E,"MACRO"))</f>
        <v/>
      </c>
      <c r="E29" s="10"/>
      <c r="F29" s="9"/>
    </row>
    <row r="30" spans="1:8" x14ac:dyDescent="0.3">
      <c r="A30" s="9"/>
      <c r="B30" s="9"/>
      <c r="C30" s="9"/>
      <c r="D30" s="9" t="str">
        <f>IF(C30="","",_xlfn.XLOOKUP(C30,'DAS PCIs (Use for Vlookup) '!$B:$B,'DAS PCIs (Use for Vlookup) '!$E:$E,"MACRO"))</f>
        <v/>
      </c>
      <c r="E30" s="10"/>
      <c r="F30" s="9"/>
    </row>
    <row r="31" spans="1:8" x14ac:dyDescent="0.3">
      <c r="A31" s="9"/>
      <c r="B31" s="9"/>
      <c r="C31" s="9"/>
      <c r="D31" s="9" t="str">
        <f>IF(C31="","",_xlfn.XLOOKUP(C31,'DAS PCIs (Use for Vlookup) '!$B:$B,'DAS PCIs (Use for Vlookup) '!$E:$E,"MACRO"))</f>
        <v/>
      </c>
      <c r="E31" s="10"/>
      <c r="F31" s="9"/>
    </row>
    <row r="32" spans="1:8" x14ac:dyDescent="0.3">
      <c r="A32" s="9"/>
      <c r="B32" s="9"/>
      <c r="C32" s="9"/>
      <c r="D32" s="9" t="str">
        <f>IF(C32="","",_xlfn.XLOOKUP(C32,'DAS PCIs (Use for Vlookup) '!$B:$B,'DAS PCIs (Use for Vlookup) '!$E:$E,"MACRO"))</f>
        <v/>
      </c>
      <c r="E32" s="10"/>
      <c r="F32" s="9"/>
    </row>
    <row r="33" spans="1:6" x14ac:dyDescent="0.3">
      <c r="A33" s="9"/>
      <c r="B33" s="9"/>
      <c r="C33" s="9"/>
      <c r="D33" s="9" t="str">
        <f>IF(C33="","",_xlfn.XLOOKUP(C33,'DAS PCIs (Use for Vlookup) '!$B:$B,'DAS PCIs (Use for Vlookup) '!$E:$E,"MACRO"))</f>
        <v/>
      </c>
      <c r="E33" s="10"/>
      <c r="F33" s="9"/>
    </row>
    <row r="34" spans="1:6" x14ac:dyDescent="0.3">
      <c r="A34" s="9"/>
      <c r="B34" s="9"/>
      <c r="C34" s="9"/>
      <c r="D34" s="9" t="str">
        <f>IF(C34="","",_xlfn.XLOOKUP(C34,'DAS PCIs (Use for Vlookup) '!$B:$B,'DAS PCIs (Use for Vlookup) '!$E:$E,"MACRO"))</f>
        <v/>
      </c>
      <c r="E34" s="10"/>
      <c r="F34" s="9"/>
    </row>
    <row r="35" spans="1:6" x14ac:dyDescent="0.3">
      <c r="D35" t="str">
        <f>IF(C35="","",_xlfn.XLOOKUP(C35,'DAS PCIs (Use for Vlookup) '!$B:$B,'DAS PCIs (Use for Vlookup) '!$E:$E,"MACRO"))</f>
        <v/>
      </c>
    </row>
    <row r="36" spans="1:6" x14ac:dyDescent="0.3">
      <c r="D36" t="str">
        <f>IF(C36="","",_xlfn.XLOOKUP(C36,'DAS PCIs (Use for Vlookup) '!$B:$B,'DAS PCIs (Use for Vlookup) '!$E:$E,"MACRO"))</f>
        <v/>
      </c>
    </row>
    <row r="37" spans="1:6" x14ac:dyDescent="0.3">
      <c r="D37" t="str">
        <f>IF(C37="","",_xlfn.XLOOKUP(C37,'DAS PCIs (Use for Vlookup) '!$B:$B,'DAS PCIs (Use for Vlookup) '!$E:$E,"MACRO"))</f>
        <v/>
      </c>
    </row>
    <row r="38" spans="1:6" x14ac:dyDescent="0.3">
      <c r="D38" t="str">
        <f>IF(C38="","",_xlfn.XLOOKUP(C38,'DAS PCIs (Use for Vlookup) '!$B:$B,'DAS PCIs (Use for Vlookup) '!$E:$E,"MACRO"))</f>
        <v/>
      </c>
    </row>
    <row r="39" spans="1:6" x14ac:dyDescent="0.3">
      <c r="D39" t="str">
        <f>IF(C39="","",_xlfn.XLOOKUP(C39,'DAS PCIs (Use for Vlookup) '!$B:$B,'DAS PCIs (Use for Vlookup) '!$E:$E,"MACRO"))</f>
        <v/>
      </c>
    </row>
    <row r="40" spans="1:6" x14ac:dyDescent="0.3">
      <c r="D40" t="str">
        <f>IF(C40="","",_xlfn.XLOOKUP(C40,'DAS PCIs (Use for Vlookup) '!$B:$B,'DAS PCIs (Use for Vlookup) '!$E:$E,"MACRO"))</f>
        <v/>
      </c>
    </row>
  </sheetData>
  <autoFilter ref="A1:F34" xr:uid="{744D80EC-1757-4E83-BE7A-37AEDCB6791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BDA3-2D53-46E6-A483-0CABFFD47384}">
  <sheetPr filterMode="1"/>
  <dimension ref="A1:I125"/>
  <sheetViews>
    <sheetView tabSelected="1" workbookViewId="0">
      <selection activeCell="N59" sqref="N59"/>
    </sheetView>
  </sheetViews>
  <sheetFormatPr defaultRowHeight="14.4" x14ac:dyDescent="0.3"/>
  <cols>
    <col min="2" max="2" width="14.44140625" bestFit="1" customWidth="1"/>
    <col min="4" max="4" width="17.21875" bestFit="1" customWidth="1"/>
    <col min="5" max="5" width="17.21875" style="8" customWidth="1"/>
    <col min="7" max="7" width="8.88671875" bestFit="1" customWidth="1"/>
    <col min="8" max="8" width="17.21875" bestFit="1" customWidth="1"/>
    <col min="9" max="9" width="9.109375" style="8"/>
  </cols>
  <sheetData>
    <row r="1" spans="1:6" x14ac:dyDescent="0.3">
      <c r="A1" s="9" t="s">
        <v>8</v>
      </c>
      <c r="B1" s="9" t="s">
        <v>14</v>
      </c>
      <c r="C1" s="9" t="s">
        <v>0</v>
      </c>
      <c r="D1" s="9" t="s">
        <v>6</v>
      </c>
      <c r="E1" s="10" t="s">
        <v>7</v>
      </c>
      <c r="F1" s="9" t="s">
        <v>10</v>
      </c>
    </row>
    <row r="2" spans="1:6" hidden="1" x14ac:dyDescent="0.3">
      <c r="A2" s="9" t="s">
        <v>9</v>
      </c>
      <c r="B2" s="9" t="s">
        <v>17</v>
      </c>
      <c r="C2" s="9">
        <v>43</v>
      </c>
      <c r="D2" s="9" t="str">
        <f>IF(C2="","",_xlfn.XLOOKUP(C2,'DAS PCIs (Use for Vlookup) '!$B:$B,'DAS PCIs (Use for Vlookup) '!$E:$E,"MACRO"))</f>
        <v>65, 66</v>
      </c>
      <c r="E2" s="10">
        <v>4.6899999999999997E-2</v>
      </c>
      <c r="F2" s="9"/>
    </row>
    <row r="3" spans="1:6" hidden="1" x14ac:dyDescent="0.3">
      <c r="A3" s="11" t="s">
        <v>9</v>
      </c>
      <c r="B3" s="11" t="s">
        <v>17</v>
      </c>
      <c r="C3" s="11">
        <v>18</v>
      </c>
      <c r="D3" s="11" t="str">
        <f>IF(C3="","",_xlfn.XLOOKUP(C3,'DAS PCIs (Use for Vlookup) '!$B:$B,'DAS PCIs (Use for Vlookup) '!$E:$E,"MACRO"))</f>
        <v>67, 68, 69</v>
      </c>
      <c r="E3" s="12">
        <v>0.20480000000000001</v>
      </c>
      <c r="F3" s="11"/>
    </row>
    <row r="4" spans="1:6" hidden="1" x14ac:dyDescent="0.3">
      <c r="A4" s="9" t="s">
        <v>9</v>
      </c>
      <c r="B4" s="9" t="s">
        <v>17</v>
      </c>
      <c r="C4" s="9">
        <v>438</v>
      </c>
      <c r="D4" s="9" t="str">
        <f>IF(C4="","",_xlfn.XLOOKUP(C4,'DAS PCIs (Use for Vlookup) '!$B:$B,'DAS PCIs (Use for Vlookup) '!$E:$E,"MACRO"))</f>
        <v>MACRO</v>
      </c>
      <c r="E4" s="10">
        <v>0.21809999999999999</v>
      </c>
      <c r="F4" s="9" t="s">
        <v>18</v>
      </c>
    </row>
    <row r="5" spans="1:6" hidden="1" x14ac:dyDescent="0.3">
      <c r="A5" s="9" t="s">
        <v>9</v>
      </c>
      <c r="B5" s="9" t="s">
        <v>17</v>
      </c>
      <c r="C5" s="9">
        <v>19</v>
      </c>
      <c r="D5" s="9" t="str">
        <f>IF(C5="","",_xlfn.XLOOKUP(C5,'DAS PCIs (Use for Vlookup) '!$B:$B,'DAS PCIs (Use for Vlookup) '!$E:$E,"MACRO"))</f>
        <v>70, 71, 72</v>
      </c>
      <c r="E5" s="10">
        <v>3.3599999999999998E-2</v>
      </c>
      <c r="F5" s="9"/>
    </row>
    <row r="6" spans="1:6" hidden="1" x14ac:dyDescent="0.3">
      <c r="A6" s="9" t="s">
        <v>9</v>
      </c>
      <c r="B6" s="9" t="s">
        <v>17</v>
      </c>
      <c r="C6" s="9">
        <v>20</v>
      </c>
      <c r="D6" s="9" t="str">
        <f>IF(C6="","",_xlfn.XLOOKUP(C6,'DAS PCIs (Use for Vlookup) '!$B:$B,'DAS PCIs (Use for Vlookup) '!$E:$E,"MACRO"))</f>
        <v>73, 74</v>
      </c>
      <c r="E6" s="10">
        <v>0.15870000000000001</v>
      </c>
      <c r="F6" s="9"/>
    </row>
    <row r="7" spans="1:6" hidden="1" x14ac:dyDescent="0.3">
      <c r="A7" s="9" t="s">
        <v>9</v>
      </c>
      <c r="B7" s="9" t="s">
        <v>17</v>
      </c>
      <c r="C7" s="9">
        <v>237</v>
      </c>
      <c r="D7" s="9" t="str">
        <f>IF(C7="","",_xlfn.XLOOKUP(C7,'DAS PCIs (Use for Vlookup) '!$B:$B,'DAS PCIs (Use for Vlookup) '!$E:$E,"MACRO"))</f>
        <v>75, 76, 77</v>
      </c>
      <c r="E7" s="10">
        <v>7.7399999999999997E-2</v>
      </c>
      <c r="F7" s="9"/>
    </row>
    <row r="8" spans="1:6" hidden="1" x14ac:dyDescent="0.3">
      <c r="A8" s="9" t="s">
        <v>9</v>
      </c>
      <c r="B8" s="9" t="s">
        <v>17</v>
      </c>
      <c r="C8" s="9">
        <v>238</v>
      </c>
      <c r="D8" s="9" t="str">
        <f>IF(C8="","",_xlfn.XLOOKUP(C8,'DAS PCIs (Use for Vlookup) '!$B:$B,'DAS PCIs (Use for Vlookup) '!$E:$E,"MACRO"))</f>
        <v>78, 79</v>
      </c>
      <c r="E8" s="10">
        <v>0.15870000000000001</v>
      </c>
      <c r="F8" s="9"/>
    </row>
    <row r="9" spans="1:6" hidden="1" x14ac:dyDescent="0.3">
      <c r="A9" s="9" t="s">
        <v>9</v>
      </c>
      <c r="B9" s="9" t="s">
        <v>17</v>
      </c>
      <c r="C9" s="9">
        <v>239</v>
      </c>
      <c r="D9" s="9" t="str">
        <f>IF(C9="","",_xlfn.XLOOKUP(C9,'DAS PCIs (Use for Vlookup) '!$B:$B,'DAS PCIs (Use for Vlookup) '!$E:$E,"MACRO"))</f>
        <v>80, 81, 82</v>
      </c>
      <c r="E9" s="10">
        <v>5.1999999999999998E-2</v>
      </c>
      <c r="F9" s="9"/>
    </row>
    <row r="10" spans="1:6" hidden="1" x14ac:dyDescent="0.3">
      <c r="A10" s="9" t="s">
        <v>9</v>
      </c>
      <c r="B10" s="9" t="s">
        <v>17</v>
      </c>
      <c r="C10" s="9">
        <v>27</v>
      </c>
      <c r="D10" s="9" t="str">
        <f>IF(C10="","",_xlfn.XLOOKUP(C10,'DAS PCIs (Use for Vlookup) '!$B:$B,'DAS PCIs (Use for Vlookup) '!$E:$E,"MACRO"))</f>
        <v>MACRO</v>
      </c>
      <c r="E10" s="10">
        <v>1.6000000000000001E-3</v>
      </c>
      <c r="F10" s="9"/>
    </row>
    <row r="11" spans="1:6" hidden="1" x14ac:dyDescent="0.3">
      <c r="A11" s="9" t="s">
        <v>9</v>
      </c>
      <c r="B11" s="9" t="s">
        <v>17</v>
      </c>
      <c r="C11" s="9">
        <v>56</v>
      </c>
      <c r="D11" s="9" t="str">
        <f>IF(C11="","",_xlfn.XLOOKUP(C11,'DAS PCIs (Use for Vlookup) '!$B:$B,'DAS PCIs (Use for Vlookup) '!$E:$E,"MACRO"))</f>
        <v>83</v>
      </c>
      <c r="E11" s="10">
        <v>3.2099999999999997E-2</v>
      </c>
      <c r="F11" s="9"/>
    </row>
    <row r="12" spans="1:6" hidden="1" x14ac:dyDescent="0.3">
      <c r="A12" s="9" t="s">
        <v>9</v>
      </c>
      <c r="B12" s="9" t="s">
        <v>17</v>
      </c>
      <c r="C12" s="9">
        <v>252</v>
      </c>
      <c r="D12" s="9" t="str">
        <f>IF(C12="","",_xlfn.XLOOKUP(C12,'DAS PCIs (Use for Vlookup) '!$B:$B,'DAS PCIs (Use for Vlookup) '!$E:$E,"MACRO"))</f>
        <v>29, 30, 31</v>
      </c>
      <c r="E12" s="10">
        <v>1.6E-2</v>
      </c>
      <c r="F12" s="9"/>
    </row>
    <row r="13" spans="1:6" hidden="1" x14ac:dyDescent="0.3">
      <c r="A13" s="15" t="s">
        <v>2</v>
      </c>
      <c r="B13" s="15" t="s">
        <v>17</v>
      </c>
      <c r="C13" s="15">
        <v>463</v>
      </c>
      <c r="D13" s="15" t="str">
        <f>IF(C13="","",_xlfn.XLOOKUP(C13,'DAS PCIs (Use for Vlookup) '!$B:$B,'DAS PCIs (Use for Vlookup) '!$E:$E,"MACRO"))</f>
        <v>MACRO</v>
      </c>
      <c r="E13" s="16">
        <v>9.6500000000000002E-2</v>
      </c>
      <c r="F13" s="15"/>
    </row>
    <row r="14" spans="1:6" hidden="1" x14ac:dyDescent="0.3">
      <c r="A14" s="15" t="s">
        <v>2</v>
      </c>
      <c r="B14" s="15" t="s">
        <v>17</v>
      </c>
      <c r="C14" s="15">
        <v>468</v>
      </c>
      <c r="D14" s="15" t="str">
        <f>IF(C14="","",_xlfn.XLOOKUP(C14,'DAS PCIs (Use for Vlookup) '!$B:$B,'DAS PCIs (Use for Vlookup) '!$E:$E,"MACRO"))</f>
        <v>MACRO</v>
      </c>
      <c r="E14" s="16">
        <v>4.02E-2</v>
      </c>
      <c r="F14" s="15"/>
    </row>
    <row r="15" spans="1:6" hidden="1" x14ac:dyDescent="0.3">
      <c r="A15" s="15" t="s">
        <v>2</v>
      </c>
      <c r="B15" s="15" t="s">
        <v>17</v>
      </c>
      <c r="C15" s="15">
        <v>470</v>
      </c>
      <c r="D15" s="15" t="str">
        <f>IF(C15="","",_xlfn.XLOOKUP(C15,'DAS PCIs (Use for Vlookup) '!$B:$B,'DAS PCIs (Use for Vlookup) '!$E:$E,"MACRO"))</f>
        <v>MACRO</v>
      </c>
      <c r="E15" s="16">
        <v>1.4999999999999999E-2</v>
      </c>
      <c r="F15" s="15"/>
    </row>
    <row r="16" spans="1:6" hidden="1" x14ac:dyDescent="0.3">
      <c r="A16" s="15" t="s">
        <v>2</v>
      </c>
      <c r="B16" s="15" t="s">
        <v>17</v>
      </c>
      <c r="C16" s="15">
        <v>458</v>
      </c>
      <c r="D16" s="15" t="str">
        <f>IF(C16="","",_xlfn.XLOOKUP(C16,'DAS PCIs (Use for Vlookup) '!$B:$B,'DAS PCIs (Use for Vlookup) '!$E:$E,"MACRO"))</f>
        <v>MACRO</v>
      </c>
      <c r="E16" s="16">
        <v>5.4999999999999997E-3</v>
      </c>
      <c r="F16" s="15"/>
    </row>
    <row r="17" spans="1:8" hidden="1" x14ac:dyDescent="0.3">
      <c r="A17" s="15" t="s">
        <v>2</v>
      </c>
      <c r="B17" s="15" t="s">
        <v>17</v>
      </c>
      <c r="C17" s="15">
        <v>460</v>
      </c>
      <c r="D17" s="15" t="str">
        <f>IF(C17="","",_xlfn.XLOOKUP(C17,'DAS PCIs (Use for Vlookup) '!$B:$B,'DAS PCIs (Use for Vlookup) '!$E:$E,"MACRO"))</f>
        <v>MACRO</v>
      </c>
      <c r="E17" s="16">
        <v>2.52E-2</v>
      </c>
      <c r="F17" s="15"/>
    </row>
    <row r="18" spans="1:8" hidden="1" x14ac:dyDescent="0.3">
      <c r="A18" s="15" t="s">
        <v>2</v>
      </c>
      <c r="B18" s="15" t="s">
        <v>17</v>
      </c>
      <c r="C18" s="15">
        <v>474</v>
      </c>
      <c r="D18" s="15" t="str">
        <f>IF(C18="","",_xlfn.XLOOKUP(C18,'DAS PCIs (Use for Vlookup) '!$B:$B,'DAS PCIs (Use for Vlookup) '!$E:$E,"MACRO"))</f>
        <v>MACRO</v>
      </c>
      <c r="E18" s="16">
        <v>1.4200000000000001E-2</v>
      </c>
      <c r="F18" s="15"/>
    </row>
    <row r="19" spans="1:8" hidden="1" x14ac:dyDescent="0.3">
      <c r="A19" s="15" t="s">
        <v>2</v>
      </c>
      <c r="B19" s="15" t="s">
        <v>17</v>
      </c>
      <c r="C19" s="15">
        <v>457</v>
      </c>
      <c r="D19" s="15" t="str">
        <f>IF(C19="","",_xlfn.XLOOKUP(C19,'DAS PCIs (Use for Vlookup) '!$B:$B,'DAS PCIs (Use for Vlookup) '!$E:$E,"MACRO"))</f>
        <v>MACRO</v>
      </c>
      <c r="E19" s="16">
        <v>2.8E-3</v>
      </c>
      <c r="F19" s="15"/>
    </row>
    <row r="20" spans="1:8" hidden="1" x14ac:dyDescent="0.3">
      <c r="A20" s="15" t="s">
        <v>2</v>
      </c>
      <c r="B20" s="15" t="s">
        <v>17</v>
      </c>
      <c r="C20" s="15">
        <v>456</v>
      </c>
      <c r="D20" s="15" t="str">
        <f>IF(C20="","",_xlfn.XLOOKUP(C20,'DAS PCIs (Use for Vlookup) '!$B:$B,'DAS PCIs (Use for Vlookup) '!$E:$E,"MACRO"))</f>
        <v>MACRO</v>
      </c>
      <c r="E20" s="16">
        <v>1.1999999999999999E-3</v>
      </c>
      <c r="F20" s="15"/>
    </row>
    <row r="21" spans="1:8" hidden="1" x14ac:dyDescent="0.3">
      <c r="A21" s="15" t="s">
        <v>2</v>
      </c>
      <c r="B21" s="15" t="s">
        <v>17</v>
      </c>
      <c r="C21" s="15">
        <v>466</v>
      </c>
      <c r="D21" s="15" t="str">
        <f>IF(C21="","",_xlfn.XLOOKUP(C21,'DAS PCIs (Use for Vlookup) '!$B:$B,'DAS PCIs (Use for Vlookup) '!$E:$E,"MACRO"))</f>
        <v>MACRO</v>
      </c>
      <c r="E21" s="16">
        <v>4.7600000000000003E-2</v>
      </c>
      <c r="F21" s="15"/>
    </row>
    <row r="22" spans="1:8" hidden="1" x14ac:dyDescent="0.3">
      <c r="A22" s="15" t="s">
        <v>2</v>
      </c>
      <c r="B22" s="15" t="s">
        <v>17</v>
      </c>
      <c r="C22" s="15">
        <v>454</v>
      </c>
      <c r="D22" s="15" t="str">
        <f>IF(C22="","",_xlfn.XLOOKUP(C22,'DAS PCIs (Use for Vlookup) '!$B:$B,'DAS PCIs (Use for Vlookup) '!$E:$E,"MACRO"))</f>
        <v>MACRO</v>
      </c>
      <c r="E22" s="16">
        <v>3.5000000000000001E-3</v>
      </c>
      <c r="F22" s="15"/>
    </row>
    <row r="23" spans="1:8" hidden="1" x14ac:dyDescent="0.3">
      <c r="A23" s="15" t="s">
        <v>2</v>
      </c>
      <c r="B23" s="15" t="s">
        <v>17</v>
      </c>
      <c r="C23" s="15">
        <v>469</v>
      </c>
      <c r="D23" s="15" t="str">
        <f>IF(C23="","",_xlfn.XLOOKUP(C23,'DAS PCIs (Use for Vlookup) '!$B:$B,'DAS PCIs (Use for Vlookup) '!$E:$E,"MACRO"))</f>
        <v>MACRO</v>
      </c>
      <c r="E23" s="16">
        <v>4.6100000000000002E-2</v>
      </c>
      <c r="F23" s="15"/>
    </row>
    <row r="24" spans="1:8" hidden="1" x14ac:dyDescent="0.3">
      <c r="A24" s="15" t="s">
        <v>2</v>
      </c>
      <c r="B24" s="15" t="s">
        <v>17</v>
      </c>
      <c r="C24" s="15">
        <v>451</v>
      </c>
      <c r="D24" s="15" t="str">
        <f>IF(C24="","",_xlfn.XLOOKUP(C24,'DAS PCIs (Use for Vlookup) '!$B:$B,'DAS PCIs (Use for Vlookup) '!$E:$E,"MACRO"))</f>
        <v>MACRO</v>
      </c>
      <c r="E24" s="16">
        <v>1.6000000000000001E-3</v>
      </c>
      <c r="F24" s="15"/>
      <c r="H24" t="str">
        <f>IF(G24="","",_xlfn.XLOOKUP(G24,'DAS PCIs (Use for Vlookup) '!$B:$B,'DAS PCIs (Use for Vlookup) '!$E:$E,"MACRO"))</f>
        <v/>
      </c>
    </row>
    <row r="25" spans="1:8" hidden="1" x14ac:dyDescent="0.3">
      <c r="A25" s="15" t="s">
        <v>2</v>
      </c>
      <c r="B25" s="15" t="s">
        <v>17</v>
      </c>
      <c r="C25" s="15">
        <v>453</v>
      </c>
      <c r="D25" s="15" t="str">
        <f>IF(C25="","",_xlfn.XLOOKUP(C25,'DAS PCIs (Use for Vlookup) '!$B:$B,'DAS PCIs (Use for Vlookup) '!$E:$E,"MACRO"))</f>
        <v>MACRO</v>
      </c>
      <c r="E25" s="16">
        <v>4.0000000000000003E-5</v>
      </c>
      <c r="F25" s="15"/>
    </row>
    <row r="26" spans="1:8" hidden="1" x14ac:dyDescent="0.3">
      <c r="A26" s="15" t="s">
        <v>2</v>
      </c>
      <c r="B26" s="15" t="s">
        <v>17</v>
      </c>
      <c r="C26" s="15">
        <v>450</v>
      </c>
      <c r="D26" s="15" t="str">
        <f>IF(C26="","",_xlfn.XLOOKUP(C26,'DAS PCIs (Use for Vlookup) '!$B:$B,'DAS PCIs (Use for Vlookup) '!$E:$E,"MACRO"))</f>
        <v>MACRO</v>
      </c>
      <c r="E26" s="16">
        <v>2.8E-3</v>
      </c>
      <c r="F26" s="15"/>
    </row>
    <row r="27" spans="1:8" hidden="1" x14ac:dyDescent="0.3">
      <c r="A27" s="15" t="s">
        <v>2</v>
      </c>
      <c r="B27" s="15" t="s">
        <v>17</v>
      </c>
      <c r="C27" s="15">
        <v>471</v>
      </c>
      <c r="D27" s="15" t="str">
        <f>IF(C27="","",_xlfn.XLOOKUP(C27,'DAS PCIs (Use for Vlookup) '!$B:$B,'DAS PCIs (Use for Vlookup) '!$E:$E,"MACRO"))</f>
        <v>MACRO</v>
      </c>
      <c r="E27" s="16">
        <v>0.111</v>
      </c>
      <c r="F27" s="15"/>
    </row>
    <row r="28" spans="1:8" hidden="1" x14ac:dyDescent="0.3">
      <c r="A28" s="15" t="s">
        <v>2</v>
      </c>
      <c r="B28" s="15" t="s">
        <v>17</v>
      </c>
      <c r="C28" s="15">
        <v>475</v>
      </c>
      <c r="D28" s="15" t="str">
        <f>IF(C28="","",_xlfn.XLOOKUP(C28,'DAS PCIs (Use for Vlookup) '!$B:$B,'DAS PCIs (Use for Vlookup) '!$E:$E,"MACRO"))</f>
        <v>MACRO</v>
      </c>
      <c r="E28" s="16">
        <v>3.1899999999999998E-2</v>
      </c>
      <c r="F28" s="15"/>
    </row>
    <row r="29" spans="1:8" hidden="1" x14ac:dyDescent="0.3">
      <c r="A29" s="15" t="s">
        <v>2</v>
      </c>
      <c r="B29" s="15" t="s">
        <v>17</v>
      </c>
      <c r="C29" s="15">
        <v>78</v>
      </c>
      <c r="D29" s="15" t="str">
        <f>IF(C29="","",_xlfn.XLOOKUP(C29,'DAS PCIs (Use for Vlookup) '!$B:$B,'DAS PCIs (Use for Vlookup) '!$E:$E,"MACRO"))</f>
        <v>MACRO</v>
      </c>
      <c r="E29" s="16">
        <v>3.0999999999999999E-3</v>
      </c>
      <c r="F29" s="15"/>
    </row>
    <row r="30" spans="1:8" hidden="1" x14ac:dyDescent="0.3">
      <c r="A30" s="15" t="s">
        <v>2</v>
      </c>
      <c r="B30" s="15" t="s">
        <v>17</v>
      </c>
      <c r="C30" s="15">
        <v>467</v>
      </c>
      <c r="D30" s="15" t="str">
        <f>IF(C30="","",_xlfn.XLOOKUP(C30,'DAS PCIs (Use for Vlookup) '!$B:$B,'DAS PCIs (Use for Vlookup) '!$E:$E,"MACRO"))</f>
        <v>MACRO</v>
      </c>
      <c r="E30" s="16">
        <v>4.6100000000000002E-2</v>
      </c>
      <c r="F30" s="15"/>
    </row>
    <row r="31" spans="1:8" hidden="1" x14ac:dyDescent="0.3">
      <c r="A31" s="15" t="s">
        <v>2</v>
      </c>
      <c r="B31" s="15" t="s">
        <v>17</v>
      </c>
      <c r="C31" s="15">
        <v>452</v>
      </c>
      <c r="D31" s="15" t="str">
        <f>IF(C31="","",_xlfn.XLOOKUP(C31,'DAS PCIs (Use for Vlookup) '!$B:$B,'DAS PCIs (Use for Vlookup) '!$E:$E,"MACRO"))</f>
        <v>MACRO</v>
      </c>
      <c r="E31" s="16">
        <v>4.3E-3</v>
      </c>
      <c r="F31" s="15"/>
    </row>
    <row r="32" spans="1:8" hidden="1" x14ac:dyDescent="0.3">
      <c r="A32" s="15" t="s">
        <v>2</v>
      </c>
      <c r="B32" s="15" t="s">
        <v>17</v>
      </c>
      <c r="C32" s="15">
        <v>104</v>
      </c>
      <c r="D32" s="15" t="str">
        <f>IF(C32="","",_xlfn.XLOOKUP(C32,'DAS PCIs (Use for Vlookup) '!$B:$B,'DAS PCIs (Use for Vlookup) '!$E:$E,"MACRO"))</f>
        <v>MACRO</v>
      </c>
      <c r="E32" s="16">
        <v>1.1999999999999999E-3</v>
      </c>
      <c r="F32" s="15"/>
    </row>
    <row r="33" spans="1:6" hidden="1" x14ac:dyDescent="0.3">
      <c r="A33" s="9" t="s">
        <v>2</v>
      </c>
      <c r="B33" s="9" t="s">
        <v>17</v>
      </c>
      <c r="C33" s="9">
        <v>20</v>
      </c>
      <c r="D33" s="9" t="str">
        <f>IF(C33="","",_xlfn.XLOOKUP(C33,'DAS PCIs (Use for Vlookup) '!$B:$B,'DAS PCIs (Use for Vlookup) '!$E:$E,"MACRO"))</f>
        <v>73, 74</v>
      </c>
      <c r="E33" s="10">
        <v>8.3000000000000001E-3</v>
      </c>
      <c r="F33" s="9"/>
    </row>
    <row r="34" spans="1:6" hidden="1" x14ac:dyDescent="0.3">
      <c r="A34" s="15" t="s">
        <v>2</v>
      </c>
      <c r="B34" s="15" t="s">
        <v>17</v>
      </c>
      <c r="C34" s="15">
        <v>596</v>
      </c>
      <c r="D34" s="15" t="str">
        <f>IF(C34="","",_xlfn.XLOOKUP(C34,'DAS PCIs (Use for Vlookup) '!$B:$B,'DAS PCIs (Use for Vlookup) '!$E:$E,"MACRO"))</f>
        <v>MACRO</v>
      </c>
      <c r="E34" s="16">
        <v>2.3599999999999999E-2</v>
      </c>
      <c r="F34" s="15"/>
    </row>
    <row r="35" spans="1:6" hidden="1" x14ac:dyDescent="0.3">
      <c r="A35" s="15" t="s">
        <v>2</v>
      </c>
      <c r="B35" s="15" t="s">
        <v>17</v>
      </c>
      <c r="C35" s="15">
        <v>57</v>
      </c>
      <c r="D35" s="15" t="str">
        <f>IF(C35="","",_xlfn.XLOOKUP(C35,'DAS PCIs (Use for Vlookup) '!$B:$B,'DAS PCIs (Use for Vlookup) '!$E:$E,"MACRO"))</f>
        <v>MACRO</v>
      </c>
      <c r="E35" s="16">
        <v>5.91E-2</v>
      </c>
      <c r="F35" s="15"/>
    </row>
    <row r="36" spans="1:6" hidden="1" x14ac:dyDescent="0.3">
      <c r="A36" s="15" t="s">
        <v>2</v>
      </c>
      <c r="B36" s="15" t="s">
        <v>17</v>
      </c>
      <c r="C36" s="15">
        <v>831</v>
      </c>
      <c r="D36" s="15" t="str">
        <f>IF(C36="","",_xlfn.XLOOKUP(C36,'DAS PCIs (Use for Vlookup) '!$B:$B,'DAS PCIs (Use for Vlookup) '!$E:$E,"MACRO"))</f>
        <v>MACRO</v>
      </c>
      <c r="E36" s="16">
        <v>0.12909999999999999</v>
      </c>
      <c r="F36" s="15"/>
    </row>
    <row r="37" spans="1:6" hidden="1" x14ac:dyDescent="0.3">
      <c r="A37" s="15" t="s">
        <v>2</v>
      </c>
      <c r="B37" s="15" t="s">
        <v>17</v>
      </c>
      <c r="C37" s="15">
        <v>415</v>
      </c>
      <c r="D37" s="15" t="str">
        <f>IF(C37="","",_xlfn.XLOOKUP(C37,'DAS PCIs (Use for Vlookup) '!$B:$B,'DAS PCIs (Use for Vlookup) '!$E:$E,"MACRO"))</f>
        <v>MACRO</v>
      </c>
      <c r="E37" s="16">
        <v>1.8499999999999999E-2</v>
      </c>
      <c r="F37" s="15"/>
    </row>
    <row r="38" spans="1:6" hidden="1" x14ac:dyDescent="0.3">
      <c r="A38" s="15" t="s">
        <v>2</v>
      </c>
      <c r="B38" s="15" t="s">
        <v>17</v>
      </c>
      <c r="C38" s="15">
        <v>893</v>
      </c>
      <c r="D38" s="15" t="str">
        <f>IF(C38="","",_xlfn.XLOOKUP(C38,'DAS PCIs (Use for Vlookup) '!$B:$B,'DAS PCIs (Use for Vlookup) '!$E:$E,"MACRO"))</f>
        <v>MACRO</v>
      </c>
      <c r="E38" s="16">
        <v>4.6100000000000002E-2</v>
      </c>
      <c r="F38" s="15"/>
    </row>
    <row r="39" spans="1:6" hidden="1" x14ac:dyDescent="0.3">
      <c r="A39" s="15" t="s">
        <v>2</v>
      </c>
      <c r="B39" s="15" t="s">
        <v>17</v>
      </c>
      <c r="C39" s="15">
        <v>461</v>
      </c>
      <c r="D39" s="15" t="str">
        <f>IF(C39="","",_xlfn.XLOOKUP(C39,'DAS PCIs (Use for Vlookup) '!$B:$B,'DAS PCIs (Use for Vlookup) '!$E:$E,"MACRO"))</f>
        <v>MACRO</v>
      </c>
      <c r="E39" s="16">
        <v>7.4999999999999997E-3</v>
      </c>
      <c r="F39" s="15"/>
    </row>
    <row r="40" spans="1:6" hidden="1" x14ac:dyDescent="0.3">
      <c r="A40" s="15" t="s">
        <v>2</v>
      </c>
      <c r="B40" s="15" t="s">
        <v>17</v>
      </c>
      <c r="C40" s="15">
        <v>462</v>
      </c>
      <c r="D40" s="15" t="str">
        <f>IF(C40="","",_xlfn.XLOOKUP(C40,'DAS PCIs (Use for Vlookup) '!$B:$B,'DAS PCIs (Use for Vlookup) '!$E:$E,"MACRO"))</f>
        <v>MACRO</v>
      </c>
      <c r="E40" s="16">
        <v>4.0000000000000002E-4</v>
      </c>
      <c r="F40" s="15"/>
    </row>
    <row r="41" spans="1:6" hidden="1" x14ac:dyDescent="0.3">
      <c r="A41" s="15" t="s">
        <v>2</v>
      </c>
      <c r="B41" s="15" t="s">
        <v>17</v>
      </c>
      <c r="C41" s="15">
        <v>459</v>
      </c>
      <c r="D41" s="15" t="str">
        <f>IF(C41="","",_xlfn.XLOOKUP(C41,'DAS PCIs (Use for Vlookup) '!$B:$B,'DAS PCIs (Use for Vlookup) '!$E:$E,"MACRO"))</f>
        <v>MACRO</v>
      </c>
      <c r="E41" s="16">
        <v>1.14E-2</v>
      </c>
      <c r="F41" s="15"/>
    </row>
    <row r="42" spans="1:6" hidden="1" x14ac:dyDescent="0.3">
      <c r="A42" s="15" t="s">
        <v>2</v>
      </c>
      <c r="B42" s="15" t="s">
        <v>17</v>
      </c>
      <c r="C42" s="15">
        <v>464</v>
      </c>
      <c r="D42" s="15" t="str">
        <f>IF(C42="","",_xlfn.XLOOKUP(C42,'DAS PCIs (Use for Vlookup) '!$B:$B,'DAS PCIs (Use for Vlookup) '!$E:$E,"MACRO"))</f>
        <v>MACRO</v>
      </c>
      <c r="E42" s="16">
        <v>4.3299999999999998E-2</v>
      </c>
      <c r="F42" s="15"/>
    </row>
    <row r="43" spans="1:6" hidden="1" x14ac:dyDescent="0.3">
      <c r="A43" s="15" t="s">
        <v>2</v>
      </c>
      <c r="B43" s="15" t="s">
        <v>17</v>
      </c>
      <c r="C43" s="15">
        <v>216</v>
      </c>
      <c r="D43" s="15" t="str">
        <f>IF(C43="","",_xlfn.XLOOKUP(C43,'DAS PCIs (Use for Vlookup) '!$B:$B,'DAS PCIs (Use for Vlookup) '!$E:$E,"MACRO"))</f>
        <v>MACRO</v>
      </c>
      <c r="E43" s="16">
        <v>1.6000000000000001E-3</v>
      </c>
      <c r="F43" s="15"/>
    </row>
    <row r="44" spans="1:6" hidden="1" x14ac:dyDescent="0.3">
      <c r="A44" s="15" t="s">
        <v>2</v>
      </c>
      <c r="B44" s="15" t="s">
        <v>17</v>
      </c>
      <c r="C44" s="15">
        <v>472</v>
      </c>
      <c r="D44" s="15" t="str">
        <f>IF(C44="","",_xlfn.XLOOKUP(C44,'DAS PCIs (Use for Vlookup) '!$B:$B,'DAS PCIs (Use for Vlookup) '!$E:$E,"MACRO"))</f>
        <v>MACRO</v>
      </c>
      <c r="E44" s="16">
        <v>4.7000000000000002E-3</v>
      </c>
      <c r="F44" s="15"/>
    </row>
    <row r="45" spans="1:6" hidden="1" x14ac:dyDescent="0.3">
      <c r="A45" s="15" t="s">
        <v>2</v>
      </c>
      <c r="B45" s="15" t="s">
        <v>17</v>
      </c>
      <c r="C45" s="15">
        <v>473</v>
      </c>
      <c r="D45" s="15" t="str">
        <f>IF(C45="","",_xlfn.XLOOKUP(C45,'DAS PCIs (Use for Vlookup) '!$B:$B,'DAS PCIs (Use for Vlookup) '!$E:$E,"MACRO"))</f>
        <v>MACRO</v>
      </c>
      <c r="E45" s="16">
        <v>9.1000000000000004E-3</v>
      </c>
      <c r="F45" s="15"/>
    </row>
    <row r="46" spans="1:6" hidden="1" x14ac:dyDescent="0.3">
      <c r="A46" s="15" t="s">
        <v>2</v>
      </c>
      <c r="B46" s="15" t="s">
        <v>17</v>
      </c>
      <c r="C46" s="15">
        <v>465</v>
      </c>
      <c r="D46" s="15" t="str">
        <f>IF(C46="","",_xlfn.XLOOKUP(C46,'DAS PCIs (Use for Vlookup) '!$B:$B,'DAS PCIs (Use for Vlookup) '!$E:$E,"MACRO"))</f>
        <v>MACRO</v>
      </c>
      <c r="E46" s="16">
        <v>8.1100000000000005E-2</v>
      </c>
      <c r="F46" s="15"/>
    </row>
    <row r="47" spans="1:6" hidden="1" x14ac:dyDescent="0.3">
      <c r="A47" s="15" t="s">
        <v>2</v>
      </c>
      <c r="B47" s="15" t="s">
        <v>17</v>
      </c>
      <c r="C47" s="15">
        <v>761</v>
      </c>
      <c r="D47" s="15" t="str">
        <f>IF(C47="","",_xlfn.XLOOKUP(C47,'DAS PCIs (Use for Vlookup) '!$B:$B,'DAS PCIs (Use for Vlookup) '!$E:$E,"MACRO"))</f>
        <v>MACRO</v>
      </c>
      <c r="E47" s="16">
        <v>5.04E-2</v>
      </c>
      <c r="F47" s="15"/>
    </row>
    <row r="48" spans="1:6" hidden="1" x14ac:dyDescent="0.3">
      <c r="A48" s="9" t="s">
        <v>2</v>
      </c>
      <c r="B48" s="9" t="s">
        <v>17</v>
      </c>
      <c r="C48" s="9">
        <v>237</v>
      </c>
      <c r="D48" s="9" t="str">
        <f>IF(C48="","",_xlfn.XLOOKUP(C48,'DAS PCIs (Use for Vlookup) '!$B:$B,'DAS PCIs (Use for Vlookup) '!$E:$E,"MACRO"))</f>
        <v>75, 76, 77</v>
      </c>
      <c r="E48" s="10">
        <v>5.8999999999999999E-3</v>
      </c>
      <c r="F48" s="9"/>
    </row>
    <row r="49" spans="1:6" x14ac:dyDescent="0.3">
      <c r="A49" s="17" t="s">
        <v>19</v>
      </c>
      <c r="B49" s="17" t="s">
        <v>17</v>
      </c>
      <c r="C49" s="17">
        <v>594</v>
      </c>
      <c r="D49" s="17" t="str">
        <f>IF(C49="","",_xlfn.XLOOKUP(C49,'DAS PCIs (Use for Vlookup) '!$B:$B,'DAS PCIs (Use for Vlookup) '!$E:$E,"MACRO"))</f>
        <v>MACRO</v>
      </c>
      <c r="E49" s="18">
        <v>9.9500000000000005E-2</v>
      </c>
      <c r="F49" s="17"/>
    </row>
    <row r="50" spans="1:6" x14ac:dyDescent="0.3">
      <c r="A50" s="17" t="s">
        <v>19</v>
      </c>
      <c r="B50" s="17" t="s">
        <v>17</v>
      </c>
      <c r="C50" s="17">
        <v>596</v>
      </c>
      <c r="D50" s="17" t="str">
        <f>IF(C50="","",_xlfn.XLOOKUP(C50,'DAS PCIs (Use for Vlookup) '!$B:$B,'DAS PCIs (Use for Vlookup) '!$E:$E,"MACRO"))</f>
        <v>MACRO</v>
      </c>
      <c r="E50" s="18">
        <v>9.2999999999999999E-2</v>
      </c>
      <c r="F50" s="17"/>
    </row>
    <row r="51" spans="1:6" x14ac:dyDescent="0.3">
      <c r="A51" s="17" t="s">
        <v>19</v>
      </c>
      <c r="B51" s="17" t="s">
        <v>17</v>
      </c>
      <c r="C51" s="17">
        <v>467</v>
      </c>
      <c r="D51" s="17" t="str">
        <f>IF(C51="","",_xlfn.XLOOKUP(C51,'DAS PCIs (Use for Vlookup) '!$B:$B,'DAS PCIs (Use for Vlookup) '!$E:$E,"MACRO"))</f>
        <v>MACRO</v>
      </c>
      <c r="E51" s="18">
        <v>9.2999999999999999E-2</v>
      </c>
      <c r="F51" s="17"/>
    </row>
    <row r="52" spans="1:6" x14ac:dyDescent="0.3">
      <c r="A52" s="11" t="s">
        <v>19</v>
      </c>
      <c r="B52" s="11" t="s">
        <v>17</v>
      </c>
      <c r="C52" s="11">
        <v>18</v>
      </c>
      <c r="D52" s="11" t="str">
        <f>IF(C52="","",_xlfn.XLOOKUP(C52,'DAS PCIs (Use for Vlookup) '!$B:$B,'DAS PCIs (Use for Vlookup) '!$E:$E,"MACRO"))</f>
        <v>67, 68, 69</v>
      </c>
      <c r="E52" s="12">
        <v>8.6800000000000002E-2</v>
      </c>
      <c r="F52" s="11"/>
    </row>
    <row r="53" spans="1:6" x14ac:dyDescent="0.3">
      <c r="A53" s="17" t="s">
        <v>19</v>
      </c>
      <c r="B53" s="17" t="s">
        <v>17</v>
      </c>
      <c r="C53" s="17">
        <v>465</v>
      </c>
      <c r="D53" s="17" t="str">
        <f>IF(C53="","",_xlfn.XLOOKUP(C53,'DAS PCIs (Use for Vlookup) '!$B:$B,'DAS PCIs (Use for Vlookup) '!$E:$E,"MACRO"))</f>
        <v>MACRO</v>
      </c>
      <c r="E53" s="18">
        <v>8.2199999999999995E-2</v>
      </c>
      <c r="F53" s="17"/>
    </row>
    <row r="54" spans="1:6" x14ac:dyDescent="0.3">
      <c r="A54" s="17" t="s">
        <v>19</v>
      </c>
      <c r="B54" s="17" t="s">
        <v>17</v>
      </c>
      <c r="C54" s="17">
        <v>466</v>
      </c>
      <c r="D54" s="17" t="str">
        <f>IF(C54="","",_xlfn.XLOOKUP(C54,'DAS PCIs (Use for Vlookup) '!$B:$B,'DAS PCIs (Use for Vlookup) '!$E:$E,"MACRO"))</f>
        <v>MACRO</v>
      </c>
      <c r="E54" s="18">
        <v>8.14E-2</v>
      </c>
      <c r="F54" s="17"/>
    </row>
    <row r="55" spans="1:6" x14ac:dyDescent="0.3">
      <c r="A55" s="17" t="s">
        <v>19</v>
      </c>
      <c r="B55" s="17" t="s">
        <v>17</v>
      </c>
      <c r="C55" s="17">
        <v>471</v>
      </c>
      <c r="D55" s="17" t="str">
        <f>IF(C55="","",_xlfn.XLOOKUP(C55,'DAS PCIs (Use for Vlookup) '!$B:$B,'DAS PCIs (Use for Vlookup) '!$E:$E,"MACRO"))</f>
        <v>MACRO</v>
      </c>
      <c r="E55" s="18">
        <v>7.7899999999999997E-2</v>
      </c>
      <c r="F55" s="17"/>
    </row>
    <row r="56" spans="1:6" x14ac:dyDescent="0.3">
      <c r="A56" s="9" t="s">
        <v>19</v>
      </c>
      <c r="B56" s="9" t="s">
        <v>17</v>
      </c>
      <c r="C56" s="9">
        <v>238</v>
      </c>
      <c r="D56" s="9" t="str">
        <f>IF(C56="","",_xlfn.XLOOKUP(C56,'DAS PCIs (Use for Vlookup) '!$B:$B,'DAS PCIs (Use for Vlookup) '!$E:$E,"MACRO"))</f>
        <v>78, 79</v>
      </c>
      <c r="E56" s="10">
        <v>6.0600000000000001E-2</v>
      </c>
      <c r="F56" s="9"/>
    </row>
    <row r="57" spans="1:6" x14ac:dyDescent="0.3">
      <c r="A57" s="9" t="s">
        <v>19</v>
      </c>
      <c r="B57" s="9" t="s">
        <v>17</v>
      </c>
      <c r="C57" s="9">
        <v>469</v>
      </c>
      <c r="D57" s="9" t="str">
        <f>IF(C57="","",_xlfn.XLOOKUP(C57,'DAS PCIs (Use for Vlookup) '!$B:$B,'DAS PCIs (Use for Vlookup) '!$E:$E,"MACRO"))</f>
        <v>MACRO</v>
      </c>
      <c r="E57" s="10">
        <v>4.5900000000000003E-2</v>
      </c>
      <c r="F57" s="9"/>
    </row>
    <row r="58" spans="1:6" x14ac:dyDescent="0.3">
      <c r="A58" s="9" t="s">
        <v>19</v>
      </c>
      <c r="B58" s="9" t="s">
        <v>17</v>
      </c>
      <c r="C58" s="9">
        <v>832</v>
      </c>
      <c r="D58" s="9" t="str">
        <f>IF(C58="","",_xlfn.XLOOKUP(C58,'DAS PCIs (Use for Vlookup) '!$B:$B,'DAS PCIs (Use for Vlookup) '!$E:$E,"MACRO"))</f>
        <v>MACRO</v>
      </c>
      <c r="E58" s="10">
        <v>3.6999999999999998E-2</v>
      </c>
      <c r="F58" s="9"/>
    </row>
    <row r="59" spans="1:6" x14ac:dyDescent="0.3">
      <c r="A59" s="9" t="s">
        <v>19</v>
      </c>
      <c r="B59" s="9" t="s">
        <v>17</v>
      </c>
      <c r="C59" s="9">
        <v>239</v>
      </c>
      <c r="D59" s="9" t="str">
        <f>IF(C59="","",_xlfn.XLOOKUP(C59,'DAS PCIs (Use for Vlookup) '!$B:$B,'DAS PCIs (Use for Vlookup) '!$E:$E,"MACRO"))</f>
        <v>80, 81, 82</v>
      </c>
      <c r="E59" s="10">
        <v>3.32E-2</v>
      </c>
      <c r="F59" s="9"/>
    </row>
    <row r="60" spans="1:6" x14ac:dyDescent="0.3">
      <c r="A60" s="9" t="s">
        <v>19</v>
      </c>
      <c r="B60" s="9" t="s">
        <v>17</v>
      </c>
      <c r="C60" s="9">
        <v>463</v>
      </c>
      <c r="D60" s="9" t="str">
        <f>IF(C60="","",_xlfn.XLOOKUP(C60,'DAS PCIs (Use for Vlookup) '!$B:$B,'DAS PCIs (Use for Vlookup) '!$E:$E,"MACRO"))</f>
        <v>MACRO</v>
      </c>
      <c r="E60" s="10">
        <v>3.2800000000000003E-2</v>
      </c>
      <c r="F60" s="9"/>
    </row>
    <row r="61" spans="1:6" x14ac:dyDescent="0.3">
      <c r="A61" s="9" t="s">
        <v>19</v>
      </c>
      <c r="B61" s="9" t="s">
        <v>17</v>
      </c>
      <c r="C61" s="9">
        <v>322</v>
      </c>
      <c r="D61" s="9" t="str">
        <f>IF(C61="","",_xlfn.XLOOKUP(C61,'DAS PCIs (Use for Vlookup) '!$B:$B,'DAS PCIs (Use for Vlookup) '!$E:$E,"MACRO"))</f>
        <v>MACRO</v>
      </c>
      <c r="E61" s="10">
        <v>3.09E-2</v>
      </c>
      <c r="F61" s="9"/>
    </row>
    <row r="62" spans="1:6" x14ac:dyDescent="0.3">
      <c r="A62" s="9" t="s">
        <v>19</v>
      </c>
      <c r="B62" s="9" t="s">
        <v>17</v>
      </c>
      <c r="C62" s="9">
        <v>464</v>
      </c>
      <c r="D62" s="9" t="str">
        <f>IF(C62="","",_xlfn.XLOOKUP(C62,'DAS PCIs (Use for Vlookup) '!$B:$B,'DAS PCIs (Use for Vlookup) '!$E:$E,"MACRO"))</f>
        <v>MACRO</v>
      </c>
      <c r="E62" s="10">
        <v>2.7799999999999998E-2</v>
      </c>
      <c r="F62" s="9"/>
    </row>
    <row r="63" spans="1:6" x14ac:dyDescent="0.3">
      <c r="A63" s="9" t="s">
        <v>19</v>
      </c>
      <c r="B63" s="9" t="s">
        <v>17</v>
      </c>
      <c r="C63" s="9">
        <v>592</v>
      </c>
      <c r="D63" s="9" t="str">
        <f>IF(C63="","",_xlfn.XLOOKUP(C63,'DAS PCIs (Use for Vlookup) '!$B:$B,'DAS PCIs (Use for Vlookup) '!$E:$E,"MACRO"))</f>
        <v>MACRO</v>
      </c>
      <c r="E63" s="10">
        <v>1.9300000000000001E-2</v>
      </c>
      <c r="F63" s="9"/>
    </row>
    <row r="64" spans="1:6" x14ac:dyDescent="0.3">
      <c r="A64" s="9" t="s">
        <v>19</v>
      </c>
      <c r="B64" s="9" t="s">
        <v>17</v>
      </c>
      <c r="C64" s="9">
        <v>470</v>
      </c>
      <c r="D64" s="9" t="str">
        <f>IF(C64="","",_xlfn.XLOOKUP(C64,'DAS PCIs (Use for Vlookup) '!$B:$B,'DAS PCIs (Use for Vlookup) '!$E:$E,"MACRO"))</f>
        <v>MACRO</v>
      </c>
      <c r="E64" s="10">
        <v>1.77E-2</v>
      </c>
      <c r="F64" s="9"/>
    </row>
    <row r="65" spans="1:6" x14ac:dyDescent="0.3">
      <c r="A65" s="9" t="s">
        <v>19</v>
      </c>
      <c r="B65" s="9" t="s">
        <v>17</v>
      </c>
      <c r="C65" s="9">
        <v>460</v>
      </c>
      <c r="D65" s="9" t="str">
        <f>IF(C65="","",_xlfn.XLOOKUP(C65,'DAS PCIs (Use for Vlookup) '!$B:$B,'DAS PCIs (Use for Vlookup) '!$E:$E,"MACRO"))</f>
        <v>MACRO</v>
      </c>
      <c r="E65" s="10">
        <v>1.6199999999999999E-2</v>
      </c>
      <c r="F65" s="9"/>
    </row>
    <row r="66" spans="1:6" x14ac:dyDescent="0.3">
      <c r="A66" s="9" t="s">
        <v>19</v>
      </c>
      <c r="B66" s="9" t="s">
        <v>17</v>
      </c>
      <c r="C66" s="9">
        <v>475</v>
      </c>
      <c r="D66" s="9" t="str">
        <f>IF(C66="","",_xlfn.XLOOKUP(C66,'DAS PCIs (Use for Vlookup) '!$B:$B,'DAS PCIs (Use for Vlookup) '!$E:$E,"MACRO"))</f>
        <v>MACRO</v>
      </c>
      <c r="E66" s="10">
        <v>1.3100000000000001E-2</v>
      </c>
      <c r="F66" s="9"/>
    </row>
    <row r="67" spans="1:6" x14ac:dyDescent="0.3">
      <c r="A67" s="9" t="s">
        <v>19</v>
      </c>
      <c r="B67" s="9" t="s">
        <v>17</v>
      </c>
      <c r="C67" s="9">
        <v>461</v>
      </c>
      <c r="D67" s="9" t="str">
        <f>IF(C67="","",_xlfn.XLOOKUP(C67,'DAS PCIs (Use for Vlookup) '!$B:$B,'DAS PCIs (Use for Vlookup) '!$E:$E,"MACRO"))</f>
        <v>MACRO</v>
      </c>
      <c r="E67" s="10">
        <v>9.2999999999999992E-3</v>
      </c>
      <c r="F67" s="9"/>
    </row>
    <row r="68" spans="1:6" x14ac:dyDescent="0.3">
      <c r="A68" s="9" t="s">
        <v>19</v>
      </c>
      <c r="B68" s="9" t="s">
        <v>17</v>
      </c>
      <c r="C68" s="9">
        <v>56</v>
      </c>
      <c r="D68" s="9" t="str">
        <f>IF(C68="","",_xlfn.XLOOKUP(C68,'DAS PCIs (Use for Vlookup) '!$B:$B,'DAS PCIs (Use for Vlookup) '!$E:$E,"MACRO"))</f>
        <v>83</v>
      </c>
      <c r="E68" s="10">
        <v>9.2999999999999992E-3</v>
      </c>
      <c r="F68" s="9"/>
    </row>
    <row r="69" spans="1:6" x14ac:dyDescent="0.3">
      <c r="A69" s="9" t="s">
        <v>19</v>
      </c>
      <c r="B69" s="9" t="s">
        <v>17</v>
      </c>
      <c r="C69" s="9">
        <v>459</v>
      </c>
      <c r="D69" s="9" t="str">
        <f>IF(C69="","",_xlfn.XLOOKUP(C69,'DAS PCIs (Use for Vlookup) '!$B:$B,'DAS PCIs (Use for Vlookup) '!$E:$E,"MACRO"))</f>
        <v>MACRO</v>
      </c>
      <c r="E69" s="10">
        <v>8.8999999999999999E-3</v>
      </c>
      <c r="F69" s="9"/>
    </row>
    <row r="70" spans="1:6" x14ac:dyDescent="0.3">
      <c r="A70" s="9" t="s">
        <v>19</v>
      </c>
      <c r="B70" s="9" t="s">
        <v>17</v>
      </c>
      <c r="C70" s="9">
        <v>454</v>
      </c>
      <c r="D70" s="9" t="str">
        <f>IF(C70="","",_xlfn.XLOOKUP(C70,'DAS PCIs (Use for Vlookup) '!$B:$B,'DAS PCIs (Use for Vlookup) '!$E:$E,"MACRO"))</f>
        <v>MACRO</v>
      </c>
      <c r="E70" s="10">
        <v>5.7999999999999996E-3</v>
      </c>
      <c r="F70" s="9"/>
    </row>
    <row r="71" spans="1:6" x14ac:dyDescent="0.3">
      <c r="A71" s="9" t="s">
        <v>19</v>
      </c>
      <c r="B71" s="9" t="s">
        <v>17</v>
      </c>
      <c r="C71" s="9">
        <v>452</v>
      </c>
      <c r="D71" s="9" t="str">
        <f>IF(C71="","",_xlfn.XLOOKUP(C71,'DAS PCIs (Use for Vlookup) '!$B:$B,'DAS PCIs (Use for Vlookup) '!$E:$E,"MACRO"))</f>
        <v>MACRO</v>
      </c>
      <c r="E71" s="10">
        <v>3.5000000000000001E-3</v>
      </c>
      <c r="F71" s="9"/>
    </row>
    <row r="72" spans="1:6" x14ac:dyDescent="0.3">
      <c r="A72" s="9" t="s">
        <v>19</v>
      </c>
      <c r="B72" s="9" t="s">
        <v>17</v>
      </c>
      <c r="C72" s="9">
        <v>78</v>
      </c>
      <c r="D72" s="9" t="str">
        <f>IF(C72="","",_xlfn.XLOOKUP(C72,'DAS PCIs (Use for Vlookup) '!$B:$B,'DAS PCIs (Use for Vlookup) '!$E:$E,"MACRO"))</f>
        <v>MACRO</v>
      </c>
      <c r="E72" s="10">
        <v>3.0999999999999999E-3</v>
      </c>
      <c r="F72" s="9"/>
    </row>
    <row r="73" spans="1:6" x14ac:dyDescent="0.3">
      <c r="A73" s="9" t="s">
        <v>19</v>
      </c>
      <c r="B73" s="9" t="s">
        <v>17</v>
      </c>
      <c r="C73" s="9">
        <v>468</v>
      </c>
      <c r="D73" s="9" t="str">
        <f>IF(C73="","",_xlfn.XLOOKUP(C73,'DAS PCIs (Use for Vlookup) '!$B:$B,'DAS PCIs (Use for Vlookup) '!$E:$E,"MACRO"))</f>
        <v>MACRO</v>
      </c>
      <c r="E73" s="10">
        <v>2.7000000000000001E-3</v>
      </c>
      <c r="F73" s="9"/>
    </row>
    <row r="74" spans="1:6" x14ac:dyDescent="0.3">
      <c r="A74" s="9" t="s">
        <v>19</v>
      </c>
      <c r="B74" s="9" t="s">
        <v>17</v>
      </c>
      <c r="C74" s="9">
        <v>472</v>
      </c>
      <c r="D74" s="9" t="str">
        <f>IF(C74="","",_xlfn.XLOOKUP(C74,'DAS PCIs (Use for Vlookup) '!$B:$B,'DAS PCIs (Use for Vlookup) '!$E:$E,"MACRO"))</f>
        <v>MACRO</v>
      </c>
      <c r="E74" s="10">
        <v>2.7000000000000001E-3</v>
      </c>
      <c r="F74" s="9"/>
    </row>
    <row r="75" spans="1:6" x14ac:dyDescent="0.3">
      <c r="A75" s="9" t="s">
        <v>19</v>
      </c>
      <c r="B75" s="9" t="s">
        <v>17</v>
      </c>
      <c r="C75" s="9">
        <v>43</v>
      </c>
      <c r="D75" s="9" t="str">
        <f>IF(C75="","",_xlfn.XLOOKUP(C75,'DAS PCIs (Use for Vlookup) '!$B:$B,'DAS PCIs (Use for Vlookup) '!$E:$E,"MACRO"))</f>
        <v>65, 66</v>
      </c>
      <c r="E75" s="10">
        <v>1.5E-3</v>
      </c>
      <c r="F75" s="9"/>
    </row>
    <row r="76" spans="1:6" x14ac:dyDescent="0.3">
      <c r="A76" s="9" t="s">
        <v>19</v>
      </c>
      <c r="B76" s="9" t="s">
        <v>17</v>
      </c>
      <c r="C76" s="9">
        <v>455</v>
      </c>
      <c r="D76" s="9" t="str">
        <f>IF(C76="","",_xlfn.XLOOKUP(C76,'DAS PCIs (Use for Vlookup) '!$B:$B,'DAS PCIs (Use for Vlookup) '!$E:$E,"MACRO"))</f>
        <v>MACRO</v>
      </c>
      <c r="E76" s="10">
        <v>1.1999999999999999E-3</v>
      </c>
      <c r="F76" s="9"/>
    </row>
    <row r="77" spans="1:6" x14ac:dyDescent="0.3">
      <c r="A77" s="9" t="s">
        <v>19</v>
      </c>
      <c r="B77" s="9" t="s">
        <v>17</v>
      </c>
      <c r="C77" s="9">
        <v>216</v>
      </c>
      <c r="D77" s="9" t="str">
        <f>IF(C77="","",_xlfn.XLOOKUP(C77,'DAS PCIs (Use for Vlookup) '!$B:$B,'DAS PCIs (Use for Vlookup) '!$E:$E,"MACRO"))</f>
        <v>MACRO</v>
      </c>
      <c r="E77" s="10">
        <v>1.1999999999999999E-3</v>
      </c>
      <c r="F77" s="9"/>
    </row>
    <row r="78" spans="1:6" x14ac:dyDescent="0.3">
      <c r="A78" s="9" t="s">
        <v>19</v>
      </c>
      <c r="B78" s="9" t="s">
        <v>17</v>
      </c>
      <c r="C78" s="9">
        <v>458</v>
      </c>
      <c r="D78" s="9" t="str">
        <f>IF(C78="","",_xlfn.XLOOKUP(C78,'DAS PCIs (Use for Vlookup) '!$B:$B,'DAS PCIs (Use for Vlookup) '!$E:$E,"MACRO"))</f>
        <v>MACRO</v>
      </c>
      <c r="E78" s="10">
        <v>8.0000000000000004E-4</v>
      </c>
      <c r="F78" s="9"/>
    </row>
    <row r="79" spans="1:6" x14ac:dyDescent="0.3">
      <c r="A79" s="9" t="s">
        <v>19</v>
      </c>
      <c r="B79" s="9" t="s">
        <v>17</v>
      </c>
      <c r="C79" s="9">
        <v>473</v>
      </c>
      <c r="D79" s="9" t="str">
        <f>IF(C79="","",_xlfn.XLOOKUP(C79,'DAS PCIs (Use for Vlookup) '!$B:$B,'DAS PCIs (Use for Vlookup) '!$E:$E,"MACRO"))</f>
        <v>MACRO</v>
      </c>
      <c r="E79" s="10">
        <v>8.0000000000000004E-4</v>
      </c>
      <c r="F79" s="9"/>
    </row>
    <row r="80" spans="1:6" x14ac:dyDescent="0.3">
      <c r="A80" s="9" t="s">
        <v>19</v>
      </c>
      <c r="B80" s="9" t="s">
        <v>17</v>
      </c>
      <c r="C80" s="9">
        <v>107</v>
      </c>
      <c r="D80" s="9" t="str">
        <f>IF(C80="","",_xlfn.XLOOKUP(C80,'DAS PCIs (Use for Vlookup) '!$B:$B,'DAS PCIs (Use for Vlookup) '!$E:$E,"MACRO"))</f>
        <v>4</v>
      </c>
      <c r="E80" s="10">
        <v>4.0000000000000002E-4</v>
      </c>
      <c r="F80" s="9"/>
    </row>
    <row r="81" spans="1:6" x14ac:dyDescent="0.3">
      <c r="A81" s="9" t="s">
        <v>19</v>
      </c>
      <c r="B81" s="9" t="s">
        <v>17</v>
      </c>
      <c r="C81" s="9">
        <v>20</v>
      </c>
      <c r="D81" s="9" t="str">
        <f>IF(C81="","",_xlfn.XLOOKUP(C81,'DAS PCIs (Use for Vlookup) '!$B:$B,'DAS PCIs (Use for Vlookup) '!$E:$E,"MACRO"))</f>
        <v>73, 74</v>
      </c>
      <c r="E81" s="10">
        <v>4.0000000000000002E-4</v>
      </c>
      <c r="F81" s="9"/>
    </row>
    <row r="82" spans="1:6" x14ac:dyDescent="0.3">
      <c r="A82" s="9" t="s">
        <v>19</v>
      </c>
      <c r="B82" s="9" t="s">
        <v>17</v>
      </c>
      <c r="C82" s="9">
        <v>456</v>
      </c>
      <c r="D82" s="9" t="str">
        <f>IF(C82="","",_xlfn.XLOOKUP(C82,'DAS PCIs (Use for Vlookup) '!$B:$B,'DAS PCIs (Use for Vlookup) '!$E:$E,"MACRO"))</f>
        <v>MACRO</v>
      </c>
      <c r="E82" s="10">
        <v>4.0000000000000002E-4</v>
      </c>
      <c r="F82" s="9"/>
    </row>
    <row r="83" spans="1:6" x14ac:dyDescent="0.3">
      <c r="D83" s="8"/>
    </row>
    <row r="84" spans="1:6" x14ac:dyDescent="0.3">
      <c r="D84" s="8"/>
    </row>
    <row r="85" spans="1:6" x14ac:dyDescent="0.3">
      <c r="D85" s="8"/>
    </row>
    <row r="86" spans="1:6" x14ac:dyDescent="0.3">
      <c r="D86" s="8"/>
    </row>
    <row r="87" spans="1:6" x14ac:dyDescent="0.3">
      <c r="D87" s="8"/>
    </row>
    <row r="88" spans="1:6" x14ac:dyDescent="0.3">
      <c r="D88" s="8"/>
    </row>
    <row r="89" spans="1:6" x14ac:dyDescent="0.3">
      <c r="D89" s="8"/>
    </row>
    <row r="90" spans="1:6" x14ac:dyDescent="0.3">
      <c r="D90" s="8"/>
    </row>
    <row r="91" spans="1:6" x14ac:dyDescent="0.3">
      <c r="D91" s="8"/>
    </row>
    <row r="92" spans="1:6" x14ac:dyDescent="0.3">
      <c r="D92" s="8"/>
    </row>
    <row r="93" spans="1:6" x14ac:dyDescent="0.3">
      <c r="D93" s="8"/>
    </row>
    <row r="94" spans="1:6" x14ac:dyDescent="0.3">
      <c r="D94" s="8"/>
    </row>
    <row r="95" spans="1:6" x14ac:dyDescent="0.3">
      <c r="D95" s="8"/>
    </row>
    <row r="96" spans="1:6" x14ac:dyDescent="0.3">
      <c r="D96" s="8"/>
    </row>
    <row r="97" spans="4:4" x14ac:dyDescent="0.3">
      <c r="D97" s="8"/>
    </row>
    <row r="98" spans="4:4" x14ac:dyDescent="0.3">
      <c r="D98" s="8"/>
    </row>
    <row r="99" spans="4:4" x14ac:dyDescent="0.3">
      <c r="D99" s="8"/>
    </row>
    <row r="100" spans="4:4" x14ac:dyDescent="0.3">
      <c r="D100" s="8"/>
    </row>
    <row r="101" spans="4:4" x14ac:dyDescent="0.3">
      <c r="D101" s="8"/>
    </row>
    <row r="102" spans="4:4" x14ac:dyDescent="0.3">
      <c r="D102" s="8"/>
    </row>
    <row r="103" spans="4:4" x14ac:dyDescent="0.3">
      <c r="D103" s="8"/>
    </row>
    <row r="104" spans="4:4" x14ac:dyDescent="0.3">
      <c r="D104" s="8"/>
    </row>
    <row r="105" spans="4:4" x14ac:dyDescent="0.3">
      <c r="D105" s="8"/>
    </row>
    <row r="106" spans="4:4" x14ac:dyDescent="0.3">
      <c r="D106" s="8"/>
    </row>
    <row r="107" spans="4:4" x14ac:dyDescent="0.3">
      <c r="D107" s="8"/>
    </row>
    <row r="108" spans="4:4" x14ac:dyDescent="0.3">
      <c r="D108" s="8"/>
    </row>
    <row r="109" spans="4:4" x14ac:dyDescent="0.3">
      <c r="D109" s="8"/>
    </row>
    <row r="110" spans="4:4" x14ac:dyDescent="0.3">
      <c r="D110" s="8"/>
    </row>
    <row r="111" spans="4:4" x14ac:dyDescent="0.3">
      <c r="D111" s="8"/>
    </row>
    <row r="112" spans="4:4" x14ac:dyDescent="0.3">
      <c r="D112" s="8"/>
    </row>
    <row r="113" spans="4:4" x14ac:dyDescent="0.3">
      <c r="D113" s="8"/>
    </row>
    <row r="114" spans="4:4" x14ac:dyDescent="0.3">
      <c r="D114" s="8"/>
    </row>
    <row r="115" spans="4:4" x14ac:dyDescent="0.3">
      <c r="D115" s="8"/>
    </row>
    <row r="116" spans="4:4" x14ac:dyDescent="0.3">
      <c r="D116" s="8"/>
    </row>
    <row r="117" spans="4:4" x14ac:dyDescent="0.3">
      <c r="D117" s="8"/>
    </row>
    <row r="118" spans="4:4" x14ac:dyDescent="0.3">
      <c r="D118" s="8"/>
    </row>
    <row r="119" spans="4:4" x14ac:dyDescent="0.3">
      <c r="D119" s="8"/>
    </row>
    <row r="120" spans="4:4" x14ac:dyDescent="0.3">
      <c r="D120" s="8"/>
    </row>
    <row r="121" spans="4:4" x14ac:dyDescent="0.3">
      <c r="D121" s="8"/>
    </row>
    <row r="122" spans="4:4" x14ac:dyDescent="0.3">
      <c r="D122" s="8"/>
    </row>
    <row r="123" spans="4:4" x14ac:dyDescent="0.3">
      <c r="D123" s="8"/>
    </row>
    <row r="124" spans="4:4" x14ac:dyDescent="0.3">
      <c r="D124" s="8"/>
    </row>
    <row r="125" spans="4:4" x14ac:dyDescent="0.3">
      <c r="D125" s="8"/>
    </row>
  </sheetData>
  <autoFilter ref="A1:F82" xr:uid="{744D80EC-1757-4E83-BE7A-37AEDCB67911}">
    <filterColumn colId="0">
      <filters>
        <filter val="N2"/>
      </filters>
    </filterColumn>
    <sortState xmlns:xlrd2="http://schemas.microsoft.com/office/spreadsheetml/2017/richdata2" ref="A49:F82">
      <sortCondition descending="1" ref="E1:E8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 PCIs (Use for Vlookup) </vt:lpstr>
      <vt:lpstr>Service Level</vt:lpstr>
      <vt:lpstr>Office Mezz</vt:lpstr>
      <vt:lpstr>Main Concourse</vt:lpstr>
      <vt:lpstr>Upper Concourse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Sosa</dc:creator>
  <cp:lastModifiedBy>Hassan Raza</cp:lastModifiedBy>
  <dcterms:created xsi:type="dcterms:W3CDTF">2026-04-20T17:08:36Z</dcterms:created>
  <dcterms:modified xsi:type="dcterms:W3CDTF">2026-04-21T22:44:24Z</dcterms:modified>
</cp:coreProperties>
</file>